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luck 참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1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</cols>
  <sheetData>
    <row r="1">
      <c r="A1" s="1" t="inlineStr">
        <is>
          <t>VENDOR CODE</t>
        </is>
      </c>
      <c r="B1" s="1" t="inlineStr">
        <is>
          <t>NAME</t>
        </is>
      </c>
      <c r="C1" s="1" t="inlineStr">
        <is>
          <t>FULL BARCODE</t>
        </is>
      </c>
    </row>
    <row r="2">
      <c r="A2" t="inlineStr">
        <is>
          <t>43310</t>
        </is>
      </c>
      <c r="B2">
        <f>"3D MINI CARTON SHIPP"</f>
        <v/>
      </c>
      <c r="C2" t="inlineStr">
        <is>
          <t>03904701053</t>
        </is>
      </c>
    </row>
    <row r="3">
      <c r="A3" t="inlineStr">
        <is>
          <t>23712</t>
        </is>
      </c>
      <c r="B3">
        <f>"3YEARS AGED VINEGAR 16.9OZ"</f>
        <v/>
      </c>
      <c r="C3" t="inlineStr">
        <is>
          <t>692056418836</t>
        </is>
      </c>
    </row>
    <row r="4">
      <c r="A4" t="inlineStr">
        <is>
          <t>24415</t>
        </is>
      </c>
      <c r="B4">
        <f>"3YR ZHENJIAN"</f>
        <v/>
      </c>
      <c r="C4" t="inlineStr">
        <is>
          <t>690200750901</t>
        </is>
      </c>
    </row>
    <row r="5">
      <c r="A5" t="inlineStr">
        <is>
          <t>23713</t>
        </is>
      </c>
      <c r="B5">
        <f>"5YR AGED MATURE"</f>
        <v/>
      </c>
      <c r="C5" t="inlineStr">
        <is>
          <t>692056418898</t>
        </is>
      </c>
    </row>
    <row r="6">
      <c r="A6" t="inlineStr">
        <is>
          <t>24418</t>
        </is>
      </c>
      <c r="B6">
        <f>"6 YR AGED ZHENJIAN"</f>
        <v/>
      </c>
      <c r="C6" t="inlineStr">
        <is>
          <t>690200750900</t>
        </is>
      </c>
    </row>
    <row r="7">
      <c r="A7" t="inlineStr">
        <is>
          <t>24443</t>
        </is>
      </c>
      <c r="B7">
        <f>"9 DEGREE RICE VINEGAR"</f>
        <v/>
      </c>
      <c r="C7" t="inlineStr">
        <is>
          <t>690200750921</t>
        </is>
      </c>
    </row>
    <row r="8">
      <c r="A8" t="inlineStr">
        <is>
          <t>33291</t>
        </is>
      </c>
      <c r="B8" t="inlineStr">
        <is>
          <t>AHAMAD CLOVE TEA</t>
        </is>
      </c>
      <c r="C8" t="inlineStr">
        <is>
          <t>05488102492</t>
        </is>
      </c>
    </row>
    <row r="9">
      <c r="A9" t="inlineStr">
        <is>
          <t>33230</t>
        </is>
      </c>
      <c r="B9" t="inlineStr">
        <is>
          <t>AHMAD APPLE BLACK TEA 20SHT</t>
        </is>
      </c>
      <c r="C9" t="inlineStr">
        <is>
          <t>05488100694</t>
        </is>
      </c>
    </row>
    <row r="10">
      <c r="A10" t="inlineStr">
        <is>
          <t>33231</t>
        </is>
      </c>
      <c r="B10" t="inlineStr">
        <is>
          <t>AHMAD APRICOT BLACK TEA 20PK</t>
        </is>
      </c>
      <c r="C10" t="inlineStr">
        <is>
          <t>05488100953</t>
        </is>
      </c>
    </row>
    <row r="11">
      <c r="A11" t="inlineStr">
        <is>
          <t>33206</t>
        </is>
      </c>
      <c r="B11" t="inlineStr">
        <is>
          <t>AHMAD BEAUTY NATURAL TEA 20SHT</t>
        </is>
      </c>
      <c r="C11" t="inlineStr">
        <is>
          <t>05488102039</t>
        </is>
      </c>
    </row>
    <row r="12">
      <c r="A12" t="inlineStr">
        <is>
          <t>33232</t>
        </is>
      </c>
      <c r="B12" t="inlineStr">
        <is>
          <t>AHMAD BLACKCURRANT BURST TEA 20SHT</t>
        </is>
      </c>
      <c r="C12" t="inlineStr">
        <is>
          <t>05488100710</t>
        </is>
      </c>
    </row>
    <row r="13">
      <c r="A13" t="inlineStr">
        <is>
          <t>33229</t>
        </is>
      </c>
      <c r="B13" t="inlineStr">
        <is>
          <t>AHMAD BREAKFAST TEA 20SHT</t>
        </is>
      </c>
      <c r="C13" t="inlineStr">
        <is>
          <t>05488100555</t>
        </is>
      </c>
    </row>
    <row r="14">
      <c r="A14" t="inlineStr">
        <is>
          <t>33245</t>
        </is>
      </c>
      <c r="B14" t="inlineStr">
        <is>
          <t>AHMAD CAMOMILE&amp;LEMONGRASS TEA 20SHT</t>
        </is>
      </c>
      <c r="C14" t="inlineStr">
        <is>
          <t>05488100006</t>
        </is>
      </c>
    </row>
    <row r="15">
      <c r="A15" t="inlineStr">
        <is>
          <t>33226</t>
        </is>
      </c>
      <c r="B15" t="inlineStr">
        <is>
          <t>AHMAD CEYLON TEA 20SHT</t>
        </is>
      </c>
      <c r="C15" t="inlineStr">
        <is>
          <t>05488100563</t>
        </is>
      </c>
    </row>
    <row r="16">
      <c r="A16" t="inlineStr">
        <is>
          <t>33233</t>
        </is>
      </c>
      <c r="B16" t="inlineStr">
        <is>
          <t>AHMAD CINNAMON HAZE TEA 20SHT</t>
        </is>
      </c>
      <c r="C16" t="inlineStr">
        <is>
          <t>05488100695</t>
        </is>
      </c>
    </row>
    <row r="17">
      <c r="A17" t="inlineStr">
        <is>
          <t>33227</t>
        </is>
      </c>
      <c r="B17" t="inlineStr">
        <is>
          <t>AHMAD DARJEELING TEA 20SHT</t>
        </is>
      </c>
      <c r="C17" t="inlineStr">
        <is>
          <t>05488100559</t>
        </is>
      </c>
    </row>
    <row r="18">
      <c r="A18" t="inlineStr">
        <is>
          <t>33260</t>
        </is>
      </c>
      <c r="B18" t="inlineStr">
        <is>
          <t>AHMAD DECAFF EVENING TEA 20SHT</t>
        </is>
      </c>
      <c r="C18" t="inlineStr">
        <is>
          <t>05488100847</t>
        </is>
      </c>
    </row>
    <row r="19">
      <c r="A19" t="inlineStr">
        <is>
          <t>33204</t>
        </is>
      </c>
      <c r="B19" t="inlineStr">
        <is>
          <t>AHMAD DIGEST TEA 20SHT</t>
        </is>
      </c>
      <c r="C19" t="inlineStr">
        <is>
          <t>05488102037</t>
        </is>
      </c>
    </row>
    <row r="20">
      <c r="A20" t="inlineStr">
        <is>
          <t>33228</t>
        </is>
      </c>
      <c r="B20" t="inlineStr">
        <is>
          <t>AHMAD EARL GRAY TEA 20PK</t>
        </is>
      </c>
      <c r="C20" t="inlineStr">
        <is>
          <t>05488100551</t>
        </is>
      </c>
    </row>
    <row r="21">
      <c r="A21" t="inlineStr">
        <is>
          <t>33203</t>
        </is>
      </c>
      <c r="B21" t="inlineStr">
        <is>
          <t>AHMAD ENERGIE NATURAL TEA 20SHT</t>
        </is>
      </c>
      <c r="C21" t="inlineStr">
        <is>
          <t>05488102036</t>
        </is>
      </c>
    </row>
    <row r="22">
      <c r="A22" t="inlineStr">
        <is>
          <t>33251</t>
        </is>
      </c>
      <c r="B22" t="inlineStr">
        <is>
          <t>AHMAD ENGLISH TEA NO.1 20PK</t>
        </is>
      </c>
      <c r="C22" t="inlineStr">
        <is>
          <t>05488100616</t>
        </is>
      </c>
    </row>
    <row r="23">
      <c r="A23" t="inlineStr">
        <is>
          <t>33242</t>
        </is>
      </c>
      <c r="B23" t="inlineStr">
        <is>
          <t>AHMAD FRUIT &amp; HERB(R,H,C) TEA 20PK</t>
        </is>
      </c>
      <c r="C23" t="inlineStr">
        <is>
          <t>05488100003</t>
        </is>
      </c>
    </row>
    <row r="24">
      <c r="A24" t="inlineStr">
        <is>
          <t>33254</t>
        </is>
      </c>
      <c r="B24" t="inlineStr">
        <is>
          <t>AHMAD FRUIT TEA SELECTION 20SHT</t>
        </is>
      </c>
      <c r="C24" t="inlineStr">
        <is>
          <t>05488100399</t>
        </is>
      </c>
    </row>
    <row r="25">
      <c r="A25" t="inlineStr">
        <is>
          <t>33253</t>
        </is>
      </c>
      <c r="B25" t="inlineStr">
        <is>
          <t>AHMAD GREEN TEA 20PK</t>
        </is>
      </c>
      <c r="C25" t="inlineStr">
        <is>
          <t>05488100894</t>
        </is>
      </c>
    </row>
    <row r="26">
      <c r="A26" t="inlineStr">
        <is>
          <t>33274</t>
        </is>
      </c>
      <c r="B26" t="inlineStr">
        <is>
          <t>AHMAD GREEN TEA SELECTION 20SHT</t>
        </is>
      </c>
      <c r="C26" t="inlineStr">
        <is>
          <t>05488100397</t>
        </is>
      </c>
    </row>
    <row r="27">
      <c r="A27" t="inlineStr">
        <is>
          <t>33201</t>
        </is>
      </c>
      <c r="B27" t="inlineStr">
        <is>
          <t>AHMAD IMMUNE NATURAL TEA 20SHT</t>
        </is>
      </c>
      <c r="C27" t="inlineStr">
        <is>
          <t>05488102034</t>
        </is>
      </c>
    </row>
    <row r="28">
      <c r="A28" t="inlineStr">
        <is>
          <t>33240</t>
        </is>
      </c>
      <c r="B28" t="inlineStr">
        <is>
          <t>AHMAD INFUSION CINNAMON TEA 20SHT</t>
        </is>
      </c>
      <c r="C28" t="inlineStr">
        <is>
          <t>05488100001</t>
        </is>
      </c>
    </row>
    <row r="29">
      <c r="A29" t="inlineStr">
        <is>
          <t>33256</t>
        </is>
      </c>
      <c r="B29" t="inlineStr">
        <is>
          <t>AHMAD INFUSION DETOX TEA 20SHT</t>
        </is>
      </c>
      <c r="C29" t="inlineStr">
        <is>
          <t>05488101366</t>
        </is>
      </c>
    </row>
    <row r="30">
      <c r="A30" t="inlineStr">
        <is>
          <t>33285</t>
        </is>
      </c>
      <c r="B30" t="inlineStr">
        <is>
          <t>AHMAD INFUSION HONEY/VANILLA TEA 20SHT</t>
        </is>
      </c>
      <c r="C30" t="inlineStr">
        <is>
          <t>05488101787</t>
        </is>
      </c>
    </row>
    <row r="31">
      <c r="A31" t="inlineStr">
        <is>
          <t>33255</t>
        </is>
      </c>
      <c r="B31" t="inlineStr">
        <is>
          <t>AHMAD INFUSION LEMON/GINGER TEA 20SHT</t>
        </is>
      </c>
      <c r="C31" t="inlineStr">
        <is>
          <t>05488100020</t>
        </is>
      </c>
    </row>
    <row r="32">
      <c r="A32" t="inlineStr">
        <is>
          <t>33244</t>
        </is>
      </c>
      <c r="B32" t="inlineStr">
        <is>
          <t>AHMAD INFUSION MIXED BERRY TEA 20SHT</t>
        </is>
      </c>
      <c r="C32" t="inlineStr">
        <is>
          <t>05488100005</t>
        </is>
      </c>
    </row>
    <row r="33">
      <c r="A33" t="inlineStr">
        <is>
          <t>33243</t>
        </is>
      </c>
      <c r="B33" t="inlineStr">
        <is>
          <t>AHMAD INFUSION MIXED CITRUS TEA 20SHT</t>
        </is>
      </c>
      <c r="C33" t="inlineStr">
        <is>
          <t>05488100004</t>
        </is>
      </c>
    </row>
    <row r="34">
      <c r="A34" t="inlineStr">
        <is>
          <t>33290</t>
        </is>
      </c>
      <c r="B34" t="inlineStr">
        <is>
          <t>AHMAD INFUSION PEACH/BERRY TEA 20SHT</t>
        </is>
      </c>
      <c r="C34" t="inlineStr">
        <is>
          <t>05488102019</t>
        </is>
      </c>
    </row>
    <row r="35">
      <c r="A35" t="inlineStr">
        <is>
          <t>33241</t>
        </is>
      </c>
      <c r="B35" t="inlineStr">
        <is>
          <t>AHMAD INFUSION PEPPERMINT TEA 20SHT</t>
        </is>
      </c>
      <c r="C35" t="inlineStr">
        <is>
          <t>05488100002</t>
        </is>
      </c>
    </row>
    <row r="36">
      <c r="A36" t="inlineStr">
        <is>
          <t>33262</t>
        </is>
      </c>
      <c r="B36" t="inlineStr">
        <is>
          <t>AHMAD JASMINE GREEN TEA 20SHT</t>
        </is>
      </c>
      <c r="C36" t="inlineStr">
        <is>
          <t>05488100565</t>
        </is>
      </c>
    </row>
    <row r="37">
      <c r="A37" t="inlineStr">
        <is>
          <t>33289</t>
        </is>
      </c>
      <c r="B37" t="inlineStr">
        <is>
          <t>AHMAD LEMON GREEN TEA 20SHT</t>
        </is>
      </c>
      <c r="C37" t="inlineStr">
        <is>
          <t>05488100753</t>
        </is>
      </c>
    </row>
    <row r="38">
      <c r="A38" t="inlineStr">
        <is>
          <t>33234</t>
        </is>
      </c>
      <c r="B38" t="inlineStr">
        <is>
          <t>AHMAD LEMON/LIME TEA 20SHT</t>
        </is>
      </c>
      <c r="C38" t="inlineStr">
        <is>
          <t>05488100697</t>
        </is>
      </c>
    </row>
    <row r="39">
      <c r="A39" t="inlineStr">
        <is>
          <t>33235</t>
        </is>
      </c>
      <c r="B39" t="inlineStr">
        <is>
          <t>AHMAD MANGO BLACK TEA 20SHT</t>
        </is>
      </c>
      <c r="C39" t="inlineStr">
        <is>
          <t>05488100698</t>
        </is>
      </c>
    </row>
    <row r="40">
      <c r="A40" t="inlineStr">
        <is>
          <t>33276</t>
        </is>
      </c>
      <c r="B40" t="inlineStr">
        <is>
          <t>AHMAD MANGO/LYCHEE TEA 20SHT</t>
        </is>
      </c>
      <c r="C40" t="inlineStr">
        <is>
          <t>05488101786</t>
        </is>
      </c>
    </row>
    <row r="41">
      <c r="A41" t="inlineStr">
        <is>
          <t>33272</t>
        </is>
      </c>
      <c r="B41" t="inlineStr">
        <is>
          <t>AHMAD MINT GREEN TEA 20SHT</t>
        </is>
      </c>
      <c r="C41" t="inlineStr">
        <is>
          <t>05488100751</t>
        </is>
      </c>
    </row>
    <row r="42">
      <c r="A42" t="inlineStr">
        <is>
          <t>33236</t>
        </is>
      </c>
      <c r="B42" t="inlineStr">
        <is>
          <t>AHMAD PEACH/PASSIONFRUIT TEA 20PK</t>
        </is>
      </c>
      <c r="C42" t="inlineStr">
        <is>
          <t>05488100699</t>
        </is>
      </c>
    </row>
    <row r="43">
      <c r="A43" t="inlineStr">
        <is>
          <t>33258</t>
        </is>
      </c>
      <c r="B43" t="inlineStr">
        <is>
          <t>AHMAD RASP/POMEGRANATE TEA 20SHT</t>
        </is>
      </c>
      <c r="C43" t="inlineStr">
        <is>
          <t>05488101242</t>
        </is>
      </c>
    </row>
    <row r="44">
      <c r="A44" t="inlineStr">
        <is>
          <t>33205</t>
        </is>
      </c>
      <c r="B44" t="inlineStr">
        <is>
          <t>AHMAD SLEEP NATURAL TEA 20SHT</t>
        </is>
      </c>
      <c r="C44" t="inlineStr">
        <is>
          <t>05488102038</t>
        </is>
      </c>
    </row>
    <row r="45">
      <c r="A45" t="inlineStr">
        <is>
          <t>33202</t>
        </is>
      </c>
      <c r="B45" t="inlineStr">
        <is>
          <t>AHMAD SLIM NATURAL TEA 20SHT</t>
        </is>
      </c>
      <c r="C45" t="inlineStr">
        <is>
          <t>05488102035</t>
        </is>
      </c>
    </row>
    <row r="46">
      <c r="A46" t="inlineStr">
        <is>
          <t>33238</t>
        </is>
      </c>
      <c r="B46" t="inlineStr">
        <is>
          <t>AHMAD STRAWBERRY BLACK TEA 20SHT</t>
        </is>
      </c>
      <c r="C46" t="inlineStr">
        <is>
          <t>05488100700</t>
        </is>
      </c>
    </row>
    <row r="47">
      <c r="A47" t="inlineStr">
        <is>
          <t>33199</t>
        </is>
      </c>
      <c r="B47" t="inlineStr">
        <is>
          <t>AHMAD TEA</t>
        </is>
      </c>
      <c r="C47" t="inlineStr">
        <is>
          <t>05488100480</t>
        </is>
      </c>
    </row>
    <row r="48">
      <c r="A48" t="inlineStr">
        <is>
          <t>33261</t>
        </is>
      </c>
      <c r="B48" t="inlineStr">
        <is>
          <t>AHMAD TEA EARL GREY DECAFFEINATED</t>
        </is>
      </c>
      <c r="C48" t="inlineStr">
        <is>
          <t>05488100842</t>
        </is>
      </c>
    </row>
    <row r="49">
      <c r="A49" t="inlineStr">
        <is>
          <t>33237</t>
        </is>
      </c>
      <c r="B49" t="inlineStr">
        <is>
          <t>AHMAD TEA RASPBERRY 2.8OZ</t>
        </is>
      </c>
      <c r="C49" t="inlineStr">
        <is>
          <t>05488100952</t>
        </is>
      </c>
    </row>
    <row r="50">
      <c r="A50" t="inlineStr">
        <is>
          <t>13190</t>
        </is>
      </c>
      <c r="B50" t="inlineStr">
        <is>
          <t>AKEBONO SWEETENED RED BEAN 475G</t>
        </is>
      </c>
      <c r="C50" t="inlineStr">
        <is>
          <t>08906713190</t>
        </is>
      </c>
    </row>
    <row r="51">
      <c r="A51" t="inlineStr">
        <is>
          <t>43294</t>
        </is>
      </c>
      <c r="B51" t="inlineStr">
        <is>
          <t>ALMOND COOKIE 24PC</t>
        </is>
      </c>
      <c r="C51" t="inlineStr">
        <is>
          <t>07912211224</t>
        </is>
      </c>
    </row>
    <row r="52">
      <c r="A52" t="inlineStr">
        <is>
          <t>43295</t>
        </is>
      </c>
      <c r="B52" t="inlineStr">
        <is>
          <t>ALMOND COOKIES 1LB/51PCS</t>
        </is>
      </c>
      <c r="C52" t="inlineStr">
        <is>
          <t>07912211651</t>
        </is>
      </c>
    </row>
    <row r="53">
      <c r="A53" t="inlineStr">
        <is>
          <t>46011</t>
        </is>
      </c>
      <c r="B53" t="inlineStr">
        <is>
          <t>APPLE SODA 330ML</t>
        </is>
      </c>
      <c r="C53" t="inlineStr">
        <is>
          <t>471012802302</t>
        </is>
      </c>
    </row>
    <row r="54">
      <c r="A54" t="inlineStr">
        <is>
          <t>46011</t>
        </is>
      </c>
      <c r="B54" t="inlineStr">
        <is>
          <t>APPLE SODA 6P</t>
        </is>
      </c>
      <c r="C54" t="inlineStr">
        <is>
          <t>471012802332</t>
        </is>
      </c>
    </row>
    <row r="55">
      <c r="A55" t="inlineStr">
        <is>
          <t>91545</t>
        </is>
      </c>
      <c r="B55" t="inlineStr">
        <is>
          <t>ASSORTED DIM SUM 500G</t>
        </is>
      </c>
      <c r="C55" t="inlineStr">
        <is>
          <t>08906791545</t>
        </is>
      </c>
    </row>
    <row r="56">
      <c r="A56" t="inlineStr">
        <is>
          <t>33526</t>
        </is>
      </c>
      <c r="B56" t="inlineStr">
        <is>
          <t>AUTHENTIC THAI ICED TEA 2.8OZ</t>
        </is>
      </c>
      <c r="C56" t="inlineStr">
        <is>
          <t>84475400096</t>
        </is>
      </c>
    </row>
    <row r="57">
      <c r="A57">
        <f>"08906711569"</f>
        <v/>
      </c>
      <c r="B57" t="inlineStr">
        <is>
          <t>BABY CORN(SWEET)</t>
        </is>
      </c>
      <c r="C57" t="inlineStr">
        <is>
          <t>08906711569</t>
        </is>
      </c>
    </row>
    <row r="58">
      <c r="A58" t="inlineStr">
        <is>
          <t>64042</t>
        </is>
      </c>
      <c r="B58" t="inlineStr">
        <is>
          <t>BAKING SODA 1LB</t>
        </is>
      </c>
      <c r="C58" t="inlineStr">
        <is>
          <t>03320001110</t>
        </is>
      </c>
    </row>
    <row r="59">
      <c r="A59" t="inlineStr">
        <is>
          <t>93101</t>
        </is>
      </c>
      <c r="B59" t="inlineStr">
        <is>
          <t>BALIWAG CHICKEN LONGANIZA 12OZ</t>
        </is>
      </c>
      <c r="C59" t="inlineStr">
        <is>
          <t>08906735153</t>
        </is>
      </c>
    </row>
    <row r="60">
      <c r="A60" t="inlineStr"/>
      <c r="B60" t="inlineStr">
        <is>
          <t>BALIWAG CHICKEN TOCINO LONGANISA 12OZ</t>
        </is>
      </c>
      <c r="C60" t="inlineStr">
        <is>
          <t>08906735154</t>
        </is>
      </c>
    </row>
    <row r="61">
      <c r="A61">
        <f>"02071720015"</f>
        <v/>
      </c>
      <c r="B61" t="inlineStr">
        <is>
          <t>BEAN SAUCE 13 OZ</t>
        </is>
      </c>
      <c r="C61" t="inlineStr">
        <is>
          <t>02071720015</t>
        </is>
      </c>
    </row>
    <row r="62">
      <c r="A62" t="inlineStr"/>
      <c r="B62" t="inlineStr">
        <is>
          <t>BEEF BALL 8OZ</t>
        </is>
      </c>
      <c r="C62" t="inlineStr">
        <is>
          <t>03277398088</t>
        </is>
      </c>
    </row>
    <row r="63">
      <c r="A63">
        <f>"07426180015"</f>
        <v/>
      </c>
      <c r="B63" t="inlineStr">
        <is>
          <t>BLACK BEAN SOY GLAZE</t>
        </is>
      </c>
      <c r="C63" t="inlineStr">
        <is>
          <t>07426180015</t>
        </is>
      </c>
    </row>
    <row r="64">
      <c r="A64" t="inlineStr">
        <is>
          <t>22144</t>
        </is>
      </c>
      <c r="B64" t="inlineStr">
        <is>
          <t>BLACK BEAN SOY SAUCE 15 FL OZ</t>
        </is>
      </c>
      <c r="C64" t="inlineStr">
        <is>
          <t>07426170015</t>
        </is>
      </c>
    </row>
    <row r="65">
      <c r="A65" t="inlineStr">
        <is>
          <t>03142</t>
        </is>
      </c>
      <c r="B65" t="inlineStr">
        <is>
          <t>BLACK QUINOA ORGANIC</t>
        </is>
      </c>
      <c r="C65" t="inlineStr">
        <is>
          <t>08906703142</t>
        </is>
      </c>
    </row>
    <row r="66">
      <c r="A66" t="inlineStr">
        <is>
          <t>33470</t>
        </is>
      </c>
      <c r="B66" t="inlineStr">
        <is>
          <t>BLACK TEA 5 LB</t>
        </is>
      </c>
      <c r="C66" t="inlineStr">
        <is>
          <t>07478150302</t>
        </is>
      </c>
    </row>
    <row r="67">
      <c r="A67" t="inlineStr">
        <is>
          <t>23705</t>
        </is>
      </c>
      <c r="B67" t="inlineStr">
        <is>
          <t>BLACK VINEGAR 20.2 FL. OZ</t>
        </is>
      </c>
      <c r="C67" t="inlineStr">
        <is>
          <t>471004602110</t>
        </is>
      </c>
    </row>
    <row r="68">
      <c r="A68" t="inlineStr">
        <is>
          <t>04048</t>
        </is>
      </c>
      <c r="B68" t="inlineStr">
        <is>
          <t>BLANCHED PEANUT 12OZ</t>
        </is>
      </c>
      <c r="C68" t="inlineStr">
        <is>
          <t>08906704047</t>
        </is>
      </c>
    </row>
    <row r="69">
      <c r="A69">
        <f>"07426104550"</f>
        <v/>
      </c>
      <c r="B69" t="inlineStr">
        <is>
          <t>BONITO SOY SAUCE</t>
        </is>
      </c>
      <c r="C69" t="inlineStr">
        <is>
          <t>07426104550</t>
        </is>
      </c>
    </row>
    <row r="70">
      <c r="A70">
        <f>"01008210013"</f>
        <v/>
      </c>
      <c r="B70" t="inlineStr">
        <is>
          <t>BRAND PORK SUNG</t>
        </is>
      </c>
      <c r="C70" t="inlineStr">
        <is>
          <t>01008210013</t>
        </is>
      </c>
    </row>
    <row r="71">
      <c r="A71" t="inlineStr">
        <is>
          <t>02168</t>
        </is>
      </c>
      <c r="B71" t="inlineStr">
        <is>
          <t>BROWN RICE 4.4LB</t>
        </is>
      </c>
      <c r="C71" t="inlineStr">
        <is>
          <t>08906702168</t>
        </is>
      </c>
    </row>
    <row r="72">
      <c r="A72" t="inlineStr">
        <is>
          <t>43334</t>
        </is>
      </c>
      <c r="B72" t="inlineStr">
        <is>
          <t>BUTTER SHORT BREAD 135G</t>
        </is>
      </c>
      <c r="C72" t="inlineStr">
        <is>
          <t>03904700145</t>
        </is>
      </c>
    </row>
    <row r="73">
      <c r="A73" t="inlineStr">
        <is>
          <t>42208</t>
        </is>
      </c>
      <c r="B73" t="inlineStr">
        <is>
          <t>CANTON EGG NOODLE THICK 16OZ</t>
        </is>
      </c>
      <c r="C73" t="inlineStr">
        <is>
          <t>337914021293</t>
        </is>
      </c>
    </row>
    <row r="74">
      <c r="A74" t="inlineStr">
        <is>
          <t>04400</t>
        </is>
      </c>
      <c r="B74" t="inlineStr">
        <is>
          <t>CASHEWNUT / LB</t>
        </is>
      </c>
      <c r="C74" t="inlineStr">
        <is>
          <t>182</t>
        </is>
      </c>
    </row>
    <row r="75">
      <c r="A75" t="inlineStr">
        <is>
          <t>31377</t>
        </is>
      </c>
      <c r="B75" t="inlineStr">
        <is>
          <t>CELEBRITY LUNCHEON MEAT</t>
        </is>
      </c>
      <c r="C75" t="inlineStr">
        <is>
          <t>07127000729</t>
        </is>
      </c>
    </row>
    <row r="76">
      <c r="A76" t="inlineStr">
        <is>
          <t>94439</t>
        </is>
      </c>
      <c r="B76" t="inlineStr">
        <is>
          <t>CH CHA SHU BOW 284G</t>
        </is>
      </c>
      <c r="C76" t="inlineStr">
        <is>
          <t>74751897104</t>
        </is>
      </c>
    </row>
    <row r="77">
      <c r="A77" t="inlineStr">
        <is>
          <t>94455</t>
        </is>
      </c>
      <c r="B77" t="inlineStr">
        <is>
          <t>CH SEAFOOD BUN W/ XO 682G</t>
        </is>
      </c>
      <c r="C77" t="inlineStr">
        <is>
          <t>74751800163</t>
        </is>
      </c>
    </row>
    <row r="78">
      <c r="A78" t="inlineStr">
        <is>
          <t>43697</t>
        </is>
      </c>
      <c r="B78" t="inlineStr">
        <is>
          <t>CHA CHA SALTED SUNFLOWER SEEDS 160G</t>
        </is>
      </c>
      <c r="C78" t="inlineStr">
        <is>
          <t>885955960165</t>
        </is>
      </c>
    </row>
    <row r="79">
      <c r="A79" t="inlineStr">
        <is>
          <t>43706</t>
        </is>
      </c>
      <c r="B79" t="inlineStr">
        <is>
          <t>CHA CHA SUNFLOWER SEEDS MALA 160G</t>
        </is>
      </c>
      <c r="C79" t="inlineStr">
        <is>
          <t>885955960288</t>
        </is>
      </c>
    </row>
    <row r="80">
      <c r="A80" t="inlineStr">
        <is>
          <t>43731</t>
        </is>
      </c>
      <c r="B80" t="inlineStr">
        <is>
          <t>CHACHA POTATO CRACKER (ORG FLAVOR) 51G</t>
        </is>
      </c>
      <c r="C80" t="inlineStr">
        <is>
          <t>692418783097</t>
        </is>
      </c>
    </row>
    <row r="81">
      <c r="A81" t="inlineStr">
        <is>
          <t>43734</t>
        </is>
      </c>
      <c r="B81" t="inlineStr">
        <is>
          <t>CHACHA POTATO CRACKER (WASABI FLAVOR) 51G</t>
        </is>
      </c>
      <c r="C81" t="inlineStr">
        <is>
          <t>692418783550</t>
        </is>
      </c>
    </row>
    <row r="82">
      <c r="A82" t="inlineStr">
        <is>
          <t>43732</t>
        </is>
      </c>
      <c r="B82" t="inlineStr">
        <is>
          <t>CHACHA POTATO CRACKER BBQ FLAV (51G)</t>
        </is>
      </c>
      <c r="C82" t="inlineStr">
        <is>
          <t>692418783093</t>
        </is>
      </c>
    </row>
    <row r="83">
      <c r="A83" t="inlineStr">
        <is>
          <t>43735</t>
        </is>
      </c>
      <c r="B83" t="inlineStr">
        <is>
          <t>CHACHA POTATO CRACKER SCALLION FLVR (51G)</t>
        </is>
      </c>
      <c r="C83" t="inlineStr">
        <is>
          <t>692418783071</t>
        </is>
      </c>
    </row>
    <row r="84">
      <c r="A84" t="inlineStr">
        <is>
          <t>43733</t>
        </is>
      </c>
      <c r="B84" t="inlineStr">
        <is>
          <t>CHACHA POTATO CRACKER TOMATO FLV (51G)</t>
        </is>
      </c>
      <c r="C84" t="inlineStr">
        <is>
          <t>692418783094</t>
        </is>
      </c>
    </row>
    <row r="85">
      <c r="A85" t="inlineStr">
        <is>
          <t>43708</t>
        </is>
      </c>
      <c r="B85" t="inlineStr">
        <is>
          <t>CHACHA R/PUMPKIN SEEDS (ORIGINAL) 130G</t>
        </is>
      </c>
      <c r="C85" t="inlineStr">
        <is>
          <t>885955960290</t>
        </is>
      </c>
    </row>
    <row r="86">
      <c r="A86" t="inlineStr">
        <is>
          <t>43709</t>
        </is>
      </c>
      <c r="B86" t="inlineStr">
        <is>
          <t>CHACHA R/PUMPKIN SEEDS (SALT) 130G</t>
        </is>
      </c>
      <c r="C86" t="inlineStr">
        <is>
          <t>885955960292</t>
        </is>
      </c>
    </row>
    <row r="87">
      <c r="A87" t="inlineStr">
        <is>
          <t>43699</t>
        </is>
      </c>
      <c r="B87" t="inlineStr">
        <is>
          <t>CHACHA SUNFLOWER SEEDS BLACK TRUFFLE 160G</t>
        </is>
      </c>
      <c r="C87" t="inlineStr">
        <is>
          <t>885955960284</t>
        </is>
      </c>
    </row>
    <row r="88">
      <c r="A88" t="inlineStr">
        <is>
          <t>43715</t>
        </is>
      </c>
      <c r="B88" t="inlineStr">
        <is>
          <t>CHACHA SUNFLOWER SEEDS FORTUNE BAG 480G</t>
        </is>
      </c>
      <c r="C88" t="inlineStr">
        <is>
          <t>885955960325</t>
        </is>
      </c>
    </row>
    <row r="89">
      <c r="A89" t="inlineStr"/>
      <c r="B89" t="inlineStr">
        <is>
          <t>CHACHA SUNFLOWER SEEDS SPICED 250G</t>
        </is>
      </c>
      <c r="C89" t="inlineStr">
        <is>
          <t>885955960019</t>
        </is>
      </c>
    </row>
    <row r="90">
      <c r="A90" t="inlineStr">
        <is>
          <t>43660</t>
        </is>
      </c>
      <c r="B90" t="inlineStr">
        <is>
          <t>CHACHA SUNFLOWER SEEDS(CARAMEL) 160G</t>
        </is>
      </c>
      <c r="C90" t="inlineStr">
        <is>
          <t>885955960027</t>
        </is>
      </c>
    </row>
    <row r="91">
      <c r="A91" t="inlineStr">
        <is>
          <t>43661</t>
        </is>
      </c>
      <c r="B91" t="inlineStr">
        <is>
          <t>CHACHA SUNFLOWER SEEDS(PECAN) 160G</t>
        </is>
      </c>
      <c r="C91" t="inlineStr">
        <is>
          <t>885955960025</t>
        </is>
      </c>
    </row>
    <row r="92">
      <c r="A92" t="inlineStr">
        <is>
          <t>24545</t>
        </is>
      </c>
      <c r="B92" t="inlineStr">
        <is>
          <t>CHAOKOH COCONUT MILK 2900ML</t>
        </is>
      </c>
      <c r="C92" t="inlineStr">
        <is>
          <t>04473807514</t>
        </is>
      </c>
    </row>
    <row r="93">
      <c r="A93" t="inlineStr">
        <is>
          <t>94438</t>
        </is>
      </c>
      <c r="B93" t="inlineStr">
        <is>
          <t>CHASHUBOW STEAM BUN</t>
        </is>
      </c>
      <c r="C93" t="inlineStr">
        <is>
          <t>74751897105</t>
        </is>
      </c>
    </row>
    <row r="94">
      <c r="A94">
        <f>"02071721015"</f>
        <v/>
      </c>
      <c r="B94" t="inlineStr">
        <is>
          <t>CHEE HOU SAUCE 15 OZ</t>
        </is>
      </c>
      <c r="C94" t="inlineStr">
        <is>
          <t>02071725015</t>
        </is>
      </c>
    </row>
    <row r="95">
      <c r="A95" t="inlineStr">
        <is>
          <t>24171</t>
        </is>
      </c>
      <c r="B95" t="inlineStr">
        <is>
          <t>CHILI DUET SAUCE</t>
        </is>
      </c>
      <c r="C95" t="inlineStr">
        <is>
          <t>08906724171</t>
        </is>
      </c>
    </row>
    <row r="96">
      <c r="A96">
        <f>"08906724172"</f>
        <v/>
      </c>
      <c r="B96" t="inlineStr">
        <is>
          <t>CHILI OIL SAUCE</t>
        </is>
      </c>
      <c r="C96" t="inlineStr">
        <is>
          <t>08906724172</t>
        </is>
      </c>
    </row>
    <row r="97">
      <c r="A97" t="inlineStr">
        <is>
          <t>42762</t>
        </is>
      </c>
      <c r="B97" t="inlineStr">
        <is>
          <t>CHONGQING NOODLE SPICY 5PK</t>
        </is>
      </c>
      <c r="C97" t="inlineStr">
        <is>
          <t>692155557382</t>
        </is>
      </c>
    </row>
    <row r="98">
      <c r="A98" t="inlineStr">
        <is>
          <t>46226</t>
        </is>
      </c>
      <c r="B98" t="inlineStr">
        <is>
          <t>CITRON HONEY TEA 1KG</t>
        </is>
      </c>
      <c r="C98" t="inlineStr">
        <is>
          <t>08906746226</t>
        </is>
      </c>
    </row>
    <row r="99">
      <c r="A99" t="inlineStr">
        <is>
          <t>46221</t>
        </is>
      </c>
      <c r="B99" t="inlineStr">
        <is>
          <t>CITRON HONEY TEA 550G</t>
        </is>
      </c>
      <c r="C99" t="inlineStr">
        <is>
          <t>08906746221</t>
        </is>
      </c>
    </row>
    <row r="100">
      <c r="A100" t="inlineStr">
        <is>
          <t>43332</t>
        </is>
      </c>
      <c r="B100" t="inlineStr">
        <is>
          <t>CLASSIC SHORTBREAD F 5.3OZ</t>
        </is>
      </c>
      <c r="C100" t="inlineStr">
        <is>
          <t>03904700115</t>
        </is>
      </c>
    </row>
    <row r="101">
      <c r="A101" t="inlineStr">
        <is>
          <t>42234</t>
        </is>
      </c>
      <c r="B101" t="inlineStr">
        <is>
          <t>CORN NOODLE 3LB</t>
        </is>
      </c>
      <c r="C101" t="inlineStr">
        <is>
          <t>08906742234</t>
        </is>
      </c>
    </row>
    <row r="102">
      <c r="A102" t="inlineStr">
        <is>
          <t>91347</t>
        </is>
      </c>
      <c r="B102" t="inlineStr">
        <is>
          <t>CP SHRIMP WONTON 145G</t>
        </is>
      </c>
      <c r="C102" t="inlineStr">
        <is>
          <t>78052632501</t>
        </is>
      </c>
    </row>
    <row r="103">
      <c r="A103" t="inlineStr">
        <is>
          <t>91351</t>
        </is>
      </c>
      <c r="B103" t="inlineStr">
        <is>
          <t>CP SHRIMP WONTON 50PS</t>
        </is>
      </c>
      <c r="C103" t="inlineStr">
        <is>
          <t>78052651270</t>
        </is>
      </c>
    </row>
    <row r="104">
      <c r="A104" t="inlineStr">
        <is>
          <t>91353</t>
        </is>
      </c>
      <c r="B104" t="inlineStr">
        <is>
          <t>CP SHRIMP WONTON W/NOODLES 4P</t>
        </is>
      </c>
      <c r="C104" t="inlineStr">
        <is>
          <t>78052651153</t>
        </is>
      </c>
    </row>
    <row r="105">
      <c r="A105" t="inlineStr">
        <is>
          <t>23679</t>
        </is>
      </c>
      <c r="B105" t="inlineStr">
        <is>
          <t>CRAB PASTE W/SOYA BEAN 200G</t>
        </is>
      </c>
      <c r="C105" t="inlineStr">
        <is>
          <t>81612500053</t>
        </is>
      </c>
    </row>
    <row r="106">
      <c r="A106" t="inlineStr">
        <is>
          <t>44611</t>
        </is>
      </c>
      <c r="B106" t="inlineStr">
        <is>
          <t>CRISPY NUT W/HONEY 168G</t>
        </is>
      </c>
      <c r="C106" t="inlineStr">
        <is>
          <t>693405486208</t>
        </is>
      </c>
    </row>
    <row r="107">
      <c r="A107" t="inlineStr">
        <is>
          <t>44610</t>
        </is>
      </c>
      <c r="B107" t="inlineStr">
        <is>
          <t>CRISPY PEANUT W/HONEY 168G</t>
        </is>
      </c>
      <c r="C107" t="inlineStr">
        <is>
          <t>693405486209</t>
        </is>
      </c>
    </row>
    <row r="108">
      <c r="A108" t="inlineStr">
        <is>
          <t>91503</t>
        </is>
      </c>
      <c r="B108" t="inlineStr">
        <is>
          <t>CRISPY PUFF BL SESAME 360G</t>
        </is>
      </c>
      <c r="C108" t="inlineStr">
        <is>
          <t>08906791503</t>
        </is>
      </c>
    </row>
    <row r="109">
      <c r="A109" t="inlineStr">
        <is>
          <t>91505</t>
        </is>
      </c>
      <c r="B109" t="inlineStr">
        <is>
          <t>CRISPY PUFF HOLLOW 360G</t>
        </is>
      </c>
      <c r="C109" t="inlineStr">
        <is>
          <t>08906791505</t>
        </is>
      </c>
    </row>
    <row r="110">
      <c r="A110">
        <f>"05206600042"</f>
        <v/>
      </c>
      <c r="B110" t="inlineStr">
        <is>
          <t>CUP CHICKEN</t>
        </is>
      </c>
      <c r="C110" t="inlineStr">
        <is>
          <t>05206600042</t>
        </is>
      </c>
    </row>
    <row r="111">
      <c r="A111">
        <f>"693260540094"</f>
        <v/>
      </c>
      <c r="B111" t="inlineStr">
        <is>
          <t>DOUBLE COOKED/PORK/SAUCE</t>
        </is>
      </c>
      <c r="C111" t="inlineStr">
        <is>
          <t>693260540094</t>
        </is>
      </c>
    </row>
    <row r="112">
      <c r="A112" t="inlineStr">
        <is>
          <t>71053</t>
        </is>
      </c>
      <c r="B112" t="inlineStr">
        <is>
          <t>DRIED BEANCURD STICKS</t>
        </is>
      </c>
      <c r="C112" t="inlineStr">
        <is>
          <t>08906771053</t>
        </is>
      </c>
    </row>
    <row r="113">
      <c r="A113" t="inlineStr">
        <is>
          <t>24150</t>
        </is>
      </c>
      <c r="B113" t="inlineStr">
        <is>
          <t>DUCK EGG YOLK PASTE 150G</t>
        </is>
      </c>
      <c r="C113" t="inlineStr">
        <is>
          <t>08906724150</t>
        </is>
      </c>
    </row>
    <row r="114">
      <c r="A114" t="inlineStr">
        <is>
          <t>91580</t>
        </is>
      </c>
      <c r="B114" t="inlineStr">
        <is>
          <t>DUCK WRAPPER 15G</t>
        </is>
      </c>
      <c r="C114" t="inlineStr">
        <is>
          <t>08906791580</t>
        </is>
      </c>
    </row>
    <row r="115">
      <c r="A115">
        <f>"74751897108"</f>
        <v/>
      </c>
      <c r="B115" t="inlineStr">
        <is>
          <t>EGG CREAM SAUCE</t>
        </is>
      </c>
      <c r="C115" t="inlineStr">
        <is>
          <t>74751897108</t>
        </is>
      </c>
    </row>
    <row r="116">
      <c r="A116" t="inlineStr">
        <is>
          <t>42727</t>
        </is>
      </c>
      <c r="B116" t="inlineStr">
        <is>
          <t>ERAWAN RICE NOODLE (L) 1LB</t>
        </is>
      </c>
      <c r="C116" t="inlineStr">
        <is>
          <t>05510400109</t>
        </is>
      </c>
    </row>
    <row r="117">
      <c r="A117" t="inlineStr">
        <is>
          <t>42726</t>
        </is>
      </c>
      <c r="B117" t="inlineStr">
        <is>
          <t>ERAWAN RICE STICK MEDIUM 16OZ</t>
        </is>
      </c>
      <c r="C117" t="inlineStr">
        <is>
          <t>05510400106</t>
        </is>
      </c>
    </row>
    <row r="118">
      <c r="A118" t="inlineStr">
        <is>
          <t>42725</t>
        </is>
      </c>
      <c r="B118" t="inlineStr">
        <is>
          <t>ERAWAN RICE STICK(S) 160Z</t>
        </is>
      </c>
      <c r="C118" t="inlineStr">
        <is>
          <t>05510400103</t>
        </is>
      </c>
    </row>
    <row r="119">
      <c r="A119" t="inlineStr">
        <is>
          <t>42728</t>
        </is>
      </c>
      <c r="B119" t="inlineStr">
        <is>
          <t>ERAWAN RICE STICK(XL) 16OZ</t>
        </is>
      </c>
      <c r="C119" t="inlineStr">
        <is>
          <t>05510400105</t>
        </is>
      </c>
    </row>
    <row r="120">
      <c r="A120" t="inlineStr">
        <is>
          <t>24225</t>
        </is>
      </c>
      <c r="B120" t="inlineStr">
        <is>
          <t>EVERGREEN SESAME SEED OIL 7.3OZ</t>
        </is>
      </c>
      <c r="C120" t="inlineStr">
        <is>
          <t>471019002003</t>
        </is>
      </c>
    </row>
    <row r="121">
      <c r="A121" t="inlineStr">
        <is>
          <t>33199</t>
        </is>
      </c>
      <c r="B121" t="inlineStr">
        <is>
          <t>EVERYDAY GIFT SHIPPE</t>
        </is>
      </c>
      <c r="C121" t="inlineStr">
        <is>
          <t>05488100891</t>
        </is>
      </c>
    </row>
    <row r="122">
      <c r="A122" t="inlineStr">
        <is>
          <t>33199</t>
        </is>
      </c>
      <c r="B122" t="inlineStr">
        <is>
          <t>EVERYDAY GIFT SHIPPE</t>
        </is>
      </c>
      <c r="C122" t="inlineStr">
        <is>
          <t>05488101768</t>
        </is>
      </c>
    </row>
    <row r="123">
      <c r="A123">
        <f>"73089388829"</f>
        <v/>
      </c>
      <c r="B123" t="inlineStr">
        <is>
          <t>F.A VEGETARIAN DUMPLINGS 538G</t>
        </is>
      </c>
      <c r="C123" t="inlineStr">
        <is>
          <t>73089388829</t>
        </is>
      </c>
    </row>
    <row r="124">
      <c r="A124" t="inlineStr">
        <is>
          <t>43300</t>
        </is>
      </c>
      <c r="B124" t="inlineStr">
        <is>
          <t>FESTIVE SHAPES SHIPP</t>
        </is>
      </c>
      <c r="C124" t="inlineStr">
        <is>
          <t>03904701458</t>
        </is>
      </c>
    </row>
    <row r="125">
      <c r="A125" t="inlineStr">
        <is>
          <t>11990</t>
        </is>
      </c>
      <c r="B125" t="inlineStr">
        <is>
          <t>FRESH WAY QUAIL EGGS(CAN) 425G</t>
        </is>
      </c>
      <c r="C125" t="inlineStr">
        <is>
          <t>08906711990</t>
        </is>
      </c>
    </row>
    <row r="126">
      <c r="A126" t="inlineStr">
        <is>
          <t>22470</t>
        </is>
      </c>
      <c r="B126" t="inlineStr">
        <is>
          <t>FRESH WAY SOYA RING ROLL 168G</t>
        </is>
      </c>
      <c r="C126" t="inlineStr">
        <is>
          <t>08906722470</t>
        </is>
      </c>
    </row>
    <row r="127">
      <c r="A127" t="inlineStr">
        <is>
          <t>97171</t>
        </is>
      </c>
      <c r="B127" t="inlineStr">
        <is>
          <t>FRESHWAY PREFRIED STINKY TOFU 220G</t>
        </is>
      </c>
      <c r="C127" t="inlineStr">
        <is>
          <t>08906797171</t>
        </is>
      </c>
    </row>
    <row r="128">
      <c r="A128" t="inlineStr">
        <is>
          <t>92229</t>
        </is>
      </c>
      <c r="B128" t="inlineStr">
        <is>
          <t>FROZEN CHESTNUT</t>
        </is>
      </c>
      <c r="C128" t="inlineStr">
        <is>
          <t>08906792229</t>
        </is>
      </c>
    </row>
    <row r="129">
      <c r="A129" t="inlineStr">
        <is>
          <t>05412</t>
        </is>
      </c>
      <c r="B129" t="inlineStr">
        <is>
          <t>GE RICE FLOUR 1LB</t>
        </is>
      </c>
      <c r="C129" t="inlineStr">
        <is>
          <t>08906705412</t>
        </is>
      </c>
    </row>
    <row r="130">
      <c r="A130" t="inlineStr">
        <is>
          <t>03046</t>
        </is>
      </c>
      <c r="B130" t="inlineStr">
        <is>
          <t>GEB MILLET(GLUTEN FREE) 2LB</t>
        </is>
      </c>
      <c r="C130" t="inlineStr">
        <is>
          <t>08906703046</t>
        </is>
      </c>
    </row>
    <row r="131">
      <c r="A131" t="inlineStr">
        <is>
          <t>92322</t>
        </is>
      </c>
      <c r="B131" t="inlineStr">
        <is>
          <t>GF COOKED SALTED DUCK EGGS 272G</t>
        </is>
      </c>
      <c r="C131" t="inlineStr">
        <is>
          <t>08906792322</t>
        </is>
      </c>
    </row>
    <row r="132">
      <c r="A132" t="inlineStr"/>
      <c r="B132" t="inlineStr">
        <is>
          <t>GF DOUBLE YOLK BOILED DUCK EGGS 288G</t>
        </is>
      </c>
      <c r="C132" t="inlineStr">
        <is>
          <t>08906792323</t>
        </is>
      </c>
    </row>
    <row r="133">
      <c r="A133" t="inlineStr">
        <is>
          <t>46227</t>
        </is>
      </c>
      <c r="B133" t="inlineStr">
        <is>
          <t>GINGER HONEY CONCENTRATE</t>
        </is>
      </c>
      <c r="C133" t="inlineStr">
        <is>
          <t>08906746227</t>
        </is>
      </c>
    </row>
    <row r="134">
      <c r="A134" t="inlineStr">
        <is>
          <t>05413</t>
        </is>
      </c>
      <c r="B134" t="inlineStr">
        <is>
          <t>GLUTINOUS RICE FLOUR</t>
        </is>
      </c>
      <c r="C134" t="inlineStr">
        <is>
          <t>08906705413</t>
        </is>
      </c>
    </row>
    <row r="135">
      <c r="A135" t="inlineStr">
        <is>
          <t>91565</t>
        </is>
      </c>
      <c r="B135" t="inlineStr">
        <is>
          <t>GM ANGEL HAIR NOODLE 2LB</t>
        </is>
      </c>
      <c r="C135" t="inlineStr">
        <is>
          <t>08906791565</t>
        </is>
      </c>
    </row>
    <row r="136">
      <c r="A136" t="inlineStr">
        <is>
          <t>91566</t>
        </is>
      </c>
      <c r="B136" t="inlineStr">
        <is>
          <t>GM CHENGDU DANDAN NOODLE 2LB</t>
        </is>
      </c>
      <c r="C136" t="inlineStr">
        <is>
          <t>08906791566</t>
        </is>
      </c>
    </row>
    <row r="137">
      <c r="A137" t="inlineStr">
        <is>
          <t>24764</t>
        </is>
      </c>
      <c r="B137" t="inlineStr">
        <is>
          <t>GM COOKING WINE SHAOXIN 3L</t>
        </is>
      </c>
      <c r="C137" t="inlineStr">
        <is>
          <t>08906724764</t>
        </is>
      </c>
    </row>
    <row r="138">
      <c r="A138" t="inlineStr">
        <is>
          <t>91567</t>
        </is>
      </c>
      <c r="B138" t="inlineStr">
        <is>
          <t>GM FRESH LONGEVITY NOODLE 908G</t>
        </is>
      </c>
      <c r="C138" t="inlineStr">
        <is>
          <t>08906791567</t>
        </is>
      </c>
    </row>
    <row r="139">
      <c r="A139" t="inlineStr">
        <is>
          <t>92120</t>
        </is>
      </c>
      <c r="B139" t="inlineStr">
        <is>
          <t>GM GYOZA WRAPPERS 300G</t>
        </is>
      </c>
      <c r="C139" t="inlineStr">
        <is>
          <t>08906792120</t>
        </is>
      </c>
    </row>
    <row r="140">
      <c r="A140" t="inlineStr">
        <is>
          <t>91564</t>
        </is>
      </c>
      <c r="B140" t="inlineStr">
        <is>
          <t>GM LANZHOU RAMEN NOODLE 2LB</t>
        </is>
      </c>
      <c r="C140" t="inlineStr">
        <is>
          <t>08906791564</t>
        </is>
      </c>
    </row>
    <row r="141">
      <c r="A141" t="inlineStr">
        <is>
          <t>91562</t>
        </is>
      </c>
      <c r="B141" t="inlineStr">
        <is>
          <t>GM SHANXI FRESH NOODLE 2LB</t>
        </is>
      </c>
      <c r="C141" t="inlineStr">
        <is>
          <t>08906791562</t>
        </is>
      </c>
    </row>
    <row r="142">
      <c r="A142" t="inlineStr">
        <is>
          <t>91561</t>
        </is>
      </c>
      <c r="B142" t="inlineStr">
        <is>
          <t>GM TAIWAN FRESH NOODLE 2LB</t>
        </is>
      </c>
      <c r="C142" t="inlineStr">
        <is>
          <t>08906791561</t>
        </is>
      </c>
    </row>
    <row r="143">
      <c r="A143" t="inlineStr">
        <is>
          <t>92122</t>
        </is>
      </c>
      <c r="B143" t="inlineStr">
        <is>
          <t>GM WON TON WRAPPERS 200G</t>
        </is>
      </c>
      <c r="C143" t="inlineStr">
        <is>
          <t>08906792122</t>
        </is>
      </c>
    </row>
    <row r="144">
      <c r="A144" t="inlineStr">
        <is>
          <t>92121</t>
        </is>
      </c>
      <c r="B144" t="inlineStr">
        <is>
          <t>GM WONTON WRAPPERS 300G</t>
        </is>
      </c>
      <c r="C144" t="inlineStr">
        <is>
          <t>08906792121</t>
        </is>
      </c>
    </row>
    <row r="145">
      <c r="A145" t="inlineStr">
        <is>
          <t>24767</t>
        </is>
      </c>
      <c r="B145" t="inlineStr">
        <is>
          <t>GOURMET TASTE RICE COOKING WINE 750ML</t>
        </is>
      </c>
      <c r="C145" t="inlineStr">
        <is>
          <t>08906724767</t>
        </is>
      </c>
    </row>
    <row r="146">
      <c r="A146" t="inlineStr">
        <is>
          <t>21350</t>
        </is>
      </c>
      <c r="B146" t="inlineStr">
        <is>
          <t>GREEN PEPPERCORN</t>
        </is>
      </c>
      <c r="C146" t="inlineStr">
        <is>
          <t>08906721350</t>
        </is>
      </c>
    </row>
    <row r="147">
      <c r="A147">
        <f>"08906721250"</f>
        <v/>
      </c>
      <c r="B147" t="inlineStr">
        <is>
          <t>GROUND WHITE PEPPER</t>
        </is>
      </c>
      <c r="C147" t="inlineStr">
        <is>
          <t>08906721250</t>
        </is>
      </c>
    </row>
    <row r="148">
      <c r="A148" t="inlineStr">
        <is>
          <t>24765</t>
        </is>
      </c>
      <c r="B148" t="inlineStr">
        <is>
          <t>GT RICE COOKING WINE(WHITE) 3L</t>
        </is>
      </c>
      <c r="C148" t="inlineStr">
        <is>
          <t>08906724765</t>
        </is>
      </c>
    </row>
    <row r="149">
      <c r="A149" t="inlineStr">
        <is>
          <t>42689</t>
        </is>
      </c>
      <c r="B149" t="inlineStr">
        <is>
          <t>GUILIN RICE STICK 10.58OZ</t>
        </is>
      </c>
      <c r="C149" t="inlineStr">
        <is>
          <t>08906742689</t>
        </is>
      </c>
    </row>
    <row r="150">
      <c r="A150" t="inlineStr">
        <is>
          <t>91291</t>
        </is>
      </c>
      <c r="B150" t="inlineStr">
        <is>
          <t>HB PEKING DUCK WRAPPER 918G</t>
        </is>
      </c>
      <c r="C150" t="inlineStr">
        <is>
          <t>888800307122</t>
        </is>
      </c>
    </row>
    <row r="151">
      <c r="A151" t="inlineStr">
        <is>
          <t>46222</t>
        </is>
      </c>
      <c r="B151" t="inlineStr">
        <is>
          <t>HCK GINGER HONEY CONCENTRATE 550G</t>
        </is>
      </c>
      <c r="C151" t="inlineStr">
        <is>
          <t>08906746222</t>
        </is>
      </c>
    </row>
    <row r="152">
      <c r="A152" t="inlineStr">
        <is>
          <t>46008</t>
        </is>
      </c>
      <c r="B152" t="inlineStr">
        <is>
          <t>HEY SONG SARSAPARILLA</t>
        </is>
      </c>
      <c r="C152" t="inlineStr">
        <is>
          <t>471015402026</t>
        </is>
      </c>
    </row>
    <row r="153">
      <c r="A153" t="inlineStr">
        <is>
          <t>24006</t>
        </is>
      </c>
      <c r="B153" t="inlineStr">
        <is>
          <t>HF CHILI GARLIC SAUCE 8OZ</t>
        </is>
      </c>
      <c r="C153" t="inlineStr">
        <is>
          <t>02446306104</t>
        </is>
      </c>
    </row>
    <row r="154">
      <c r="A154" t="inlineStr">
        <is>
          <t>04009</t>
        </is>
      </c>
      <c r="B154" t="inlineStr">
        <is>
          <t>HNSTY BLACHED PEANUTS 5LB</t>
        </is>
      </c>
      <c r="C154" t="inlineStr">
        <is>
          <t>08906704009</t>
        </is>
      </c>
    </row>
    <row r="155">
      <c r="A155" t="inlineStr">
        <is>
          <t>04242</t>
        </is>
      </c>
      <c r="B155" t="inlineStr">
        <is>
          <t>HNSTY RED SKIN PEANUT 12OZ</t>
        </is>
      </c>
      <c r="C155" t="inlineStr">
        <is>
          <t>08906704242</t>
        </is>
      </c>
    </row>
    <row r="156">
      <c r="A156" t="inlineStr">
        <is>
          <t>24655</t>
        </is>
      </c>
      <c r="B156" t="inlineStr">
        <is>
          <t>HONEY BEAR 340G</t>
        </is>
      </c>
      <c r="C156" t="inlineStr">
        <is>
          <t>05852636</t>
        </is>
      </c>
    </row>
    <row r="157">
      <c r="A157" t="inlineStr">
        <is>
          <t>24657</t>
        </is>
      </c>
      <c r="B157" t="inlineStr">
        <is>
          <t>HONEY BILLYBEE 368G</t>
        </is>
      </c>
      <c r="C157" t="inlineStr">
        <is>
          <t>05850000029</t>
        </is>
      </c>
    </row>
    <row r="158">
      <c r="A158" t="inlineStr">
        <is>
          <t>24656</t>
        </is>
      </c>
      <c r="B158" t="inlineStr">
        <is>
          <t>HONEY BILLYBEE 453G</t>
        </is>
      </c>
      <c r="C158" t="inlineStr">
        <is>
          <t>0585253</t>
        </is>
      </c>
    </row>
    <row r="159">
      <c r="A159" t="inlineStr">
        <is>
          <t>24733</t>
        </is>
      </c>
      <c r="B159" t="inlineStr">
        <is>
          <t>HS SCALLION&amp;GINGER COOKING WINE 500ML</t>
        </is>
      </c>
      <c r="C159" t="inlineStr">
        <is>
          <t>693009635031</t>
        </is>
      </c>
    </row>
    <row r="160">
      <c r="A160" t="inlineStr">
        <is>
          <t>24766</t>
        </is>
      </c>
      <c r="B160" t="inlineStr">
        <is>
          <t>HUA TIAO COOKING WINE 750ML</t>
        </is>
      </c>
      <c r="C160" t="inlineStr">
        <is>
          <t>08906724766</t>
        </is>
      </c>
    </row>
    <row r="161">
      <c r="A161" t="inlineStr">
        <is>
          <t>94200</t>
        </is>
      </c>
      <c r="B161" t="inlineStr">
        <is>
          <t>HUNSTY GREEN SOY BEAN 16OZ</t>
        </is>
      </c>
      <c r="C161" t="inlineStr">
        <is>
          <t>08906794200</t>
        </is>
      </c>
    </row>
    <row r="162">
      <c r="A162" t="inlineStr">
        <is>
          <t>94240</t>
        </is>
      </c>
      <c r="B162" t="inlineStr">
        <is>
          <t>HUNSTY GREEN SOYBEAN POD 16OZ</t>
        </is>
      </c>
      <c r="C162" t="inlineStr">
        <is>
          <t>08906794240</t>
        </is>
      </c>
    </row>
    <row r="163">
      <c r="A163" t="inlineStr">
        <is>
          <t>01079</t>
        </is>
      </c>
      <c r="B163" t="inlineStr">
        <is>
          <t>HUNSTY MUNG BEANS 12 OZ</t>
        </is>
      </c>
      <c r="C163" t="inlineStr">
        <is>
          <t>08906701079</t>
        </is>
      </c>
    </row>
    <row r="164">
      <c r="A164" t="inlineStr">
        <is>
          <t>21345</t>
        </is>
      </c>
      <c r="B164" t="inlineStr">
        <is>
          <t>HUNSTY PEPPERCORN</t>
        </is>
      </c>
      <c r="C164" t="inlineStr">
        <is>
          <t>08906721345</t>
        </is>
      </c>
    </row>
    <row r="165">
      <c r="A165" t="inlineStr">
        <is>
          <t>91599</t>
        </is>
      </c>
      <c r="B165" t="inlineStr">
        <is>
          <t>HUNSTY SCALLION PANCAKE 600G</t>
        </is>
      </c>
      <c r="C165" t="inlineStr">
        <is>
          <t>08906791599</t>
        </is>
      </c>
    </row>
    <row r="166">
      <c r="A166" t="inlineStr">
        <is>
          <t>21346</t>
        </is>
      </c>
      <c r="B166" t="inlineStr">
        <is>
          <t>HUNSTY STAR ANISE 100G</t>
        </is>
      </c>
      <c r="C166" t="inlineStr">
        <is>
          <t>08906721346</t>
        </is>
      </c>
    </row>
    <row r="167">
      <c r="A167" t="inlineStr">
        <is>
          <t>91571</t>
        </is>
      </c>
      <c r="B167" t="inlineStr">
        <is>
          <t>HUNSTY VEGETABLE SPRING ROLLS 40PCS</t>
        </is>
      </c>
      <c r="C167" t="inlineStr">
        <is>
          <t>08906791571</t>
        </is>
      </c>
    </row>
    <row r="168">
      <c r="A168" t="inlineStr">
        <is>
          <t>24420</t>
        </is>
      </c>
      <c r="B168" t="inlineStr">
        <is>
          <t>HUNSTY VINEGAR 1GAL</t>
        </is>
      </c>
      <c r="C168" t="inlineStr">
        <is>
          <t>08906724420</t>
        </is>
      </c>
    </row>
    <row r="169">
      <c r="A169" t="inlineStr">
        <is>
          <t>11623</t>
        </is>
      </c>
      <c r="B169" t="inlineStr">
        <is>
          <t>HUNSTY WHOLE KERNEL CORN 15OZ</t>
        </is>
      </c>
      <c r="C169" t="inlineStr">
        <is>
          <t>08906711623</t>
        </is>
      </c>
    </row>
    <row r="170">
      <c r="A170" t="inlineStr">
        <is>
          <t>92228</t>
        </is>
      </c>
      <c r="B170" t="inlineStr">
        <is>
          <t>HUSTY FROZEN PEELED BROAD BEAN 1LB (FRZN)</t>
        </is>
      </c>
      <c r="C170" t="inlineStr">
        <is>
          <t>08906792228</t>
        </is>
      </c>
    </row>
    <row r="171">
      <c r="A171">
        <f>"08906742214"</f>
        <v/>
      </c>
      <c r="B171" t="inlineStr">
        <is>
          <t>IMITATION EGG NOODLE</t>
        </is>
      </c>
      <c r="C171" t="inlineStr">
        <is>
          <t>08906742214</t>
        </is>
      </c>
    </row>
    <row r="172">
      <c r="A172" t="inlineStr"/>
      <c r="B172" t="inlineStr">
        <is>
          <t>INS BEEF NOODLE</t>
        </is>
      </c>
      <c r="C172" t="inlineStr">
        <is>
          <t>05206600532</t>
        </is>
      </c>
    </row>
    <row r="173">
      <c r="A173" t="inlineStr">
        <is>
          <t>42228</t>
        </is>
      </c>
      <c r="B173" t="inlineStr">
        <is>
          <t>INSTANT EGG NOODLE 14OZ</t>
        </is>
      </c>
      <c r="C173" t="inlineStr">
        <is>
          <t>08906742228</t>
        </is>
      </c>
    </row>
    <row r="174">
      <c r="A174">
        <f>"08906702058"</f>
        <v/>
      </c>
      <c r="B174" t="inlineStr">
        <is>
          <t>JASMINE RICE 5LB</t>
        </is>
      </c>
      <c r="C174" t="inlineStr">
        <is>
          <t>08906702058</t>
        </is>
      </c>
    </row>
    <row r="175">
      <c r="A175" t="inlineStr">
        <is>
          <t>02051</t>
        </is>
      </c>
      <c r="B175" t="inlineStr">
        <is>
          <t>JASMINE RICE(WL)</t>
        </is>
      </c>
      <c r="C175" t="inlineStr">
        <is>
          <t>08906702051</t>
        </is>
      </c>
    </row>
    <row r="176">
      <c r="A176" t="inlineStr">
        <is>
          <t>X21310301</t>
        </is>
      </c>
      <c r="B176" t="inlineStr">
        <is>
          <t>JAVIN CURRY POWDER 454G</t>
        </is>
      </c>
      <c r="C176" t="inlineStr">
        <is>
          <t>07355700076</t>
        </is>
      </c>
    </row>
    <row r="177">
      <c r="A177" t="inlineStr">
        <is>
          <t>42688</t>
        </is>
      </c>
      <c r="B177" t="inlineStr">
        <is>
          <t>JIANGXI RICE STICK (THICK) 10.58OZ</t>
        </is>
      </c>
      <c r="C177" t="inlineStr">
        <is>
          <t>08906742688</t>
        </is>
      </c>
    </row>
    <row r="178">
      <c r="A178" t="inlineStr">
        <is>
          <t>42686</t>
        </is>
      </c>
      <c r="B178" t="inlineStr">
        <is>
          <t>JIANGXI RICE STICK FINE</t>
        </is>
      </c>
      <c r="C178" t="inlineStr">
        <is>
          <t>08906742686</t>
        </is>
      </c>
    </row>
    <row r="179">
      <c r="A179" t="inlineStr">
        <is>
          <t>42684</t>
        </is>
      </c>
      <c r="B179" t="inlineStr">
        <is>
          <t>JIANGXI RICE STICK(RED) 300GM</t>
        </is>
      </c>
      <c r="C179" t="inlineStr">
        <is>
          <t>08906742684</t>
        </is>
      </c>
    </row>
    <row r="180">
      <c r="A180" t="inlineStr">
        <is>
          <t>42687</t>
        </is>
      </c>
      <c r="B180" t="inlineStr">
        <is>
          <t>JIANGXI RICE STICK(XL) 300GM</t>
        </is>
      </c>
      <c r="C180" t="inlineStr">
        <is>
          <t>08906742687</t>
        </is>
      </c>
    </row>
    <row r="181">
      <c r="A181" t="inlineStr">
        <is>
          <t>42970</t>
        </is>
      </c>
      <c r="B181" t="inlineStr">
        <is>
          <t>JML BEEF&amp;SOUR PICKLED CABBAGE NOODLE 5PK</t>
        </is>
      </c>
      <c r="C181" t="inlineStr">
        <is>
          <t>692155551004</t>
        </is>
      </c>
    </row>
    <row r="182">
      <c r="A182" t="inlineStr">
        <is>
          <t>42971</t>
        </is>
      </c>
      <c r="B182" t="inlineStr">
        <is>
          <t>JML CHICKEN &amp; MUSHROOM NOODLE 5PK</t>
        </is>
      </c>
      <c r="C182" t="inlineStr">
        <is>
          <t>692155551198</t>
        </is>
      </c>
    </row>
    <row r="183">
      <c r="A183" t="inlineStr"/>
      <c r="B183" t="inlineStr">
        <is>
          <t>JML ISTANT NOODLE BEEF</t>
        </is>
      </c>
      <c r="C183" t="inlineStr">
        <is>
          <t>692155551012</t>
        </is>
      </c>
    </row>
    <row r="184">
      <c r="A184" t="inlineStr">
        <is>
          <t>42919</t>
        </is>
      </c>
      <c r="B184" t="inlineStr">
        <is>
          <t>JML MUSHROOM CHICKEN 90G</t>
        </is>
      </c>
      <c r="C184" t="inlineStr">
        <is>
          <t>692155558395</t>
        </is>
      </c>
    </row>
    <row r="185">
      <c r="A185" t="inlineStr">
        <is>
          <t>42977</t>
        </is>
      </c>
      <c r="B185" t="inlineStr">
        <is>
          <t>JML SEAFOOD NOODLE 5PK</t>
        </is>
      </c>
      <c r="C185" t="inlineStr">
        <is>
          <t>692155550990</t>
        </is>
      </c>
    </row>
    <row r="186">
      <c r="A186" t="inlineStr">
        <is>
          <t>42975</t>
        </is>
      </c>
      <c r="B186" t="inlineStr">
        <is>
          <t>JML SPICY BEEF NOODLE 5PK</t>
        </is>
      </c>
      <c r="C186" t="inlineStr">
        <is>
          <t>692155559578</t>
        </is>
      </c>
    </row>
    <row r="187">
      <c r="A187" t="inlineStr">
        <is>
          <t>42976</t>
        </is>
      </c>
      <c r="B187" t="inlineStr">
        <is>
          <t>JML SPICY HOT BEEF NOODLE 5PK</t>
        </is>
      </c>
      <c r="C187" t="inlineStr">
        <is>
          <t>692155559580</t>
        </is>
      </c>
    </row>
    <row r="188">
      <c r="A188" t="inlineStr">
        <is>
          <t>42973</t>
        </is>
      </c>
      <c r="B188" t="inlineStr">
        <is>
          <t>JML STEW BEEF NOODLE 5PK</t>
        </is>
      </c>
      <c r="C188" t="inlineStr">
        <is>
          <t>692155559577</t>
        </is>
      </c>
    </row>
    <row r="189">
      <c r="A189" t="inlineStr">
        <is>
          <t>42921</t>
        </is>
      </c>
      <c r="B189" t="inlineStr">
        <is>
          <t>JML STEW PORK FLV BOWL RAMEN 116G</t>
        </is>
      </c>
      <c r="C189" t="inlineStr">
        <is>
          <t>692155557166</t>
        </is>
      </c>
    </row>
    <row r="190">
      <c r="A190" t="inlineStr">
        <is>
          <t>42974</t>
        </is>
      </c>
      <c r="B190" t="inlineStr">
        <is>
          <t>JML STEW PORK NOODLE 5PK</t>
        </is>
      </c>
      <c r="C190" t="inlineStr">
        <is>
          <t>692155559579</t>
        </is>
      </c>
    </row>
    <row r="191">
      <c r="A191" t="inlineStr">
        <is>
          <t>46228</t>
        </is>
      </c>
      <c r="B191" t="inlineStr">
        <is>
          <t>JUJUBE HONEY CONCENTRATE 1KG</t>
        </is>
      </c>
      <c r="C191" t="inlineStr">
        <is>
          <t>08906746228</t>
        </is>
      </c>
    </row>
    <row r="192">
      <c r="A192" t="inlineStr">
        <is>
          <t>23324</t>
        </is>
      </c>
      <c r="B192" t="inlineStr">
        <is>
          <t>KC BLACK SWEETED VINEGAR 500ML</t>
        </is>
      </c>
      <c r="C192" t="inlineStr">
        <is>
          <t>02071760225</t>
        </is>
      </c>
    </row>
    <row r="193">
      <c r="A193" t="inlineStr">
        <is>
          <t>23109</t>
        </is>
      </c>
      <c r="B193" t="inlineStr">
        <is>
          <t>KC DARK SOY SAUCE 500ML</t>
        </is>
      </c>
      <c r="C193" t="inlineStr">
        <is>
          <t>02071712228</t>
        </is>
      </c>
    </row>
    <row r="194">
      <c r="A194" t="inlineStr">
        <is>
          <t>23301</t>
        </is>
      </c>
      <c r="B194" t="inlineStr">
        <is>
          <t>KC DILUTED BLACK VINEGAR 500ML</t>
        </is>
      </c>
      <c r="C194" t="inlineStr">
        <is>
          <t>02071761222</t>
        </is>
      </c>
    </row>
    <row r="195">
      <c r="A195" t="inlineStr">
        <is>
          <t>23282</t>
        </is>
      </c>
      <c r="B195" t="inlineStr">
        <is>
          <t>KC DILUTED VINEGAR RED 500ML</t>
        </is>
      </c>
      <c r="C195" t="inlineStr">
        <is>
          <t>02071762222</t>
        </is>
      </c>
    </row>
    <row r="196">
      <c r="A196" t="inlineStr">
        <is>
          <t>23153</t>
        </is>
      </c>
      <c r="B196" t="inlineStr">
        <is>
          <t>KC DOUBLE DARK SOY SAUCE 500ML</t>
        </is>
      </c>
      <c r="C196" t="inlineStr">
        <is>
          <t>02071711228</t>
        </is>
      </c>
    </row>
    <row r="197">
      <c r="A197" t="inlineStr"/>
      <c r="B197" t="inlineStr">
        <is>
          <t>KC FINE SHRIMP SAUCE 13OZ</t>
        </is>
      </c>
      <c r="C197" t="inlineStr">
        <is>
          <t>02071728015</t>
        </is>
      </c>
    </row>
    <row r="198">
      <c r="A198" t="inlineStr"/>
      <c r="B198" t="inlineStr">
        <is>
          <t>KC HOISIN SAUCE 15OZ</t>
        </is>
      </c>
      <c r="C198" t="inlineStr">
        <is>
          <t>02071723015</t>
        </is>
      </c>
    </row>
    <row r="199">
      <c r="A199" t="inlineStr">
        <is>
          <t>23383</t>
        </is>
      </c>
      <c r="B199" t="inlineStr">
        <is>
          <t>KC PLUM IN BRINE 12OZ</t>
        </is>
      </c>
      <c r="C199" t="inlineStr">
        <is>
          <t>02071775012</t>
        </is>
      </c>
    </row>
    <row r="200">
      <c r="A200" t="inlineStr">
        <is>
          <t>23245</t>
        </is>
      </c>
      <c r="B200" t="inlineStr">
        <is>
          <t>KC THICK SOY SAUCE 16OZ</t>
        </is>
      </c>
      <c r="C200" t="inlineStr">
        <is>
          <t>02071713016</t>
        </is>
      </c>
    </row>
    <row r="201">
      <c r="A201" t="inlineStr">
        <is>
          <t>23062</t>
        </is>
      </c>
      <c r="B201" t="inlineStr">
        <is>
          <t>KC THIN SOY SAUCE 20.3 OZ</t>
        </is>
      </c>
      <c r="C201" t="inlineStr">
        <is>
          <t>02071710226</t>
        </is>
      </c>
    </row>
    <row r="202">
      <c r="A202" t="inlineStr">
        <is>
          <t>02528</t>
        </is>
      </c>
      <c r="B202" t="inlineStr">
        <is>
          <t>KOKUHO ROSE RICE 15LB</t>
        </is>
      </c>
      <c r="C202" t="inlineStr">
        <is>
          <t>07323402002</t>
        </is>
      </c>
    </row>
    <row r="203">
      <c r="A203" t="inlineStr">
        <is>
          <t>02538</t>
        </is>
      </c>
      <c r="B203" t="inlineStr">
        <is>
          <t>KOKUHO ROSE RICE PINK 5 LBS</t>
        </is>
      </c>
      <c r="C203" t="inlineStr">
        <is>
          <t>7323402008</t>
        </is>
      </c>
    </row>
    <row r="204">
      <c r="A204" t="inlineStr">
        <is>
          <t>02532</t>
        </is>
      </c>
      <c r="B204" t="inlineStr">
        <is>
          <t>KOKUHO YELLOW CALROS 4.4LB</t>
        </is>
      </c>
      <c r="C204" t="inlineStr">
        <is>
          <t>07323400302</t>
        </is>
      </c>
    </row>
    <row r="205">
      <c r="A205" t="inlineStr">
        <is>
          <t>44141</t>
        </is>
      </c>
      <c r="B205" t="inlineStr">
        <is>
          <t>LAGO CHOCO/LESS SUGAR FLV WAFERS 250G</t>
        </is>
      </c>
      <c r="C205" t="inlineStr">
        <is>
          <t>69464902455</t>
        </is>
      </c>
    </row>
    <row r="206">
      <c r="A206" t="inlineStr">
        <is>
          <t>44142</t>
        </is>
      </c>
      <c r="B206" t="inlineStr">
        <is>
          <t>LAGO HAZEL/LESS SUGAR FLV WAFERS 250G</t>
        </is>
      </c>
      <c r="C206" t="inlineStr">
        <is>
          <t>69464902465</t>
        </is>
      </c>
    </row>
    <row r="207">
      <c r="A207" t="inlineStr">
        <is>
          <t>91763</t>
        </is>
      </c>
      <c r="B207" t="inlineStr">
        <is>
          <t>LAGO MILK-CHOCOLATE FLV WAFERS 250G</t>
        </is>
      </c>
      <c r="C207" t="inlineStr">
        <is>
          <t>69464900255</t>
        </is>
      </c>
    </row>
    <row r="208">
      <c r="A208" t="inlineStr">
        <is>
          <t>44104</t>
        </is>
      </c>
      <c r="B208" t="inlineStr">
        <is>
          <t>LAGO PARTY WAFER VANILLA</t>
        </is>
      </c>
      <c r="C208" t="inlineStr">
        <is>
          <t>69464900243</t>
        </is>
      </c>
    </row>
    <row r="209">
      <c r="A209" t="inlineStr">
        <is>
          <t>44092</t>
        </is>
      </c>
      <c r="B209" t="inlineStr">
        <is>
          <t>LAGO PARTY WAFERS COCONUT FLAVOR 250G</t>
        </is>
      </c>
      <c r="C209" t="inlineStr">
        <is>
          <t>69464900285</t>
        </is>
      </c>
    </row>
    <row r="210">
      <c r="A210" t="inlineStr">
        <is>
          <t>44090</t>
        </is>
      </c>
      <c r="B210" t="inlineStr">
        <is>
          <t>LAGO PARTY WAFERS DOUBLE CHOCO FLV 220G</t>
        </is>
      </c>
      <c r="C210" t="inlineStr">
        <is>
          <t>69464900293</t>
        </is>
      </c>
    </row>
    <row r="211">
      <c r="A211" t="inlineStr">
        <is>
          <t>44091</t>
        </is>
      </c>
      <c r="B211" t="inlineStr">
        <is>
          <t>LAGO PARTY WAFERS DULCE DE LECHE 250G</t>
        </is>
      </c>
      <c r="C211" t="inlineStr">
        <is>
          <t>69464902895</t>
        </is>
      </c>
    </row>
    <row r="212">
      <c r="A212" t="inlineStr">
        <is>
          <t>44138</t>
        </is>
      </c>
      <c r="B212" t="inlineStr">
        <is>
          <t>LAGO ROLL 1968 CAPUCCINO 80G</t>
        </is>
      </c>
      <c r="C212" t="inlineStr">
        <is>
          <t>69464900531</t>
        </is>
      </c>
    </row>
    <row r="213">
      <c r="A213" t="inlineStr"/>
      <c r="B213" t="inlineStr">
        <is>
          <t>LAGO ROLL 1968 CHOCOLATE 80G</t>
        </is>
      </c>
      <c r="C213" t="inlineStr">
        <is>
          <t>69464900520</t>
        </is>
      </c>
    </row>
    <row r="214">
      <c r="A214" t="inlineStr"/>
      <c r="B214" t="inlineStr">
        <is>
          <t>LAGO ROLL 1968 HAZELNUT 80G</t>
        </is>
      </c>
      <c r="C214" t="inlineStr">
        <is>
          <t>69464900526</t>
        </is>
      </c>
    </row>
    <row r="215">
      <c r="A215" t="inlineStr"/>
      <c r="B215" t="inlineStr">
        <is>
          <t>LAGO ROLL 1968 STRAWBERRY 80G</t>
        </is>
      </c>
      <c r="C215" t="inlineStr">
        <is>
          <t>69464900523</t>
        </is>
      </c>
    </row>
    <row r="216">
      <c r="A216" t="inlineStr">
        <is>
          <t>44101</t>
        </is>
      </c>
      <c r="B216" t="inlineStr">
        <is>
          <t>LAGO WAFERS COCOA FLV SNACK 250G</t>
        </is>
      </c>
      <c r="C216" t="inlineStr">
        <is>
          <t>69464900237</t>
        </is>
      </c>
    </row>
    <row r="217">
      <c r="A217" t="inlineStr">
        <is>
          <t>44103</t>
        </is>
      </c>
      <c r="B217" t="inlineStr">
        <is>
          <t>LAGO WAFERS HAZELNUT FLV SNACK 250G</t>
        </is>
      </c>
      <c r="C217" t="inlineStr">
        <is>
          <t>69464900242</t>
        </is>
      </c>
    </row>
    <row r="218">
      <c r="A218" t="inlineStr">
        <is>
          <t>44094</t>
        </is>
      </c>
      <c r="B218" t="inlineStr">
        <is>
          <t>LAGO WAFERS LEMON FLV SNACK 250G</t>
        </is>
      </c>
      <c r="C218" t="inlineStr">
        <is>
          <t>69464900260</t>
        </is>
      </c>
    </row>
    <row r="219">
      <c r="A219" t="inlineStr">
        <is>
          <t>44093</t>
        </is>
      </c>
      <c r="B219" t="inlineStr">
        <is>
          <t>LAGO WAFERS STRAWBERRY FLV 250G</t>
        </is>
      </c>
      <c r="C219" t="inlineStr">
        <is>
          <t>69464900278</t>
        </is>
      </c>
    </row>
    <row r="220">
      <c r="A220" t="inlineStr">
        <is>
          <t>44102</t>
        </is>
      </c>
      <c r="B220" t="inlineStr">
        <is>
          <t>LAGO WAFFLE CAPPUCCINO FLV 250G</t>
        </is>
      </c>
      <c r="C220" t="inlineStr">
        <is>
          <t>69464900238</t>
        </is>
      </c>
    </row>
    <row r="221">
      <c r="A221" t="inlineStr">
        <is>
          <t>42763</t>
        </is>
      </c>
      <c r="B221" t="inlineStr">
        <is>
          <t>LANZHOU RAMEN CLASSIC 5PK</t>
        </is>
      </c>
      <c r="C221" t="inlineStr">
        <is>
          <t>692155557379</t>
        </is>
      </c>
    </row>
    <row r="222">
      <c r="A222" t="inlineStr">
        <is>
          <t>31002</t>
        </is>
      </c>
      <c r="B222" t="inlineStr">
        <is>
          <t>LARGE PORK FU 16OZ</t>
        </is>
      </c>
      <c r="C222" t="inlineStr">
        <is>
          <t>01008221004</t>
        </is>
      </c>
    </row>
    <row r="223">
      <c r="A223">
        <f>"01008211002"</f>
        <v/>
      </c>
      <c r="B223" t="inlineStr">
        <is>
          <t>LARGE PORK FU 20OZ</t>
        </is>
      </c>
      <c r="C223" t="inlineStr">
        <is>
          <t>01008211002</t>
        </is>
      </c>
    </row>
    <row r="224">
      <c r="A224" t="inlineStr">
        <is>
          <t>31001</t>
        </is>
      </c>
      <c r="B224" t="inlineStr">
        <is>
          <t>LARGE PORK SUNG 16OZ</t>
        </is>
      </c>
      <c r="C224" t="inlineStr">
        <is>
          <t>01008221003</t>
        </is>
      </c>
    </row>
    <row r="225">
      <c r="A225">
        <f>"01008211001"</f>
        <v/>
      </c>
      <c r="B225" t="inlineStr">
        <is>
          <t>LARGE PORK SUNG 20OZ</t>
        </is>
      </c>
      <c r="C225" t="inlineStr">
        <is>
          <t>01008211001</t>
        </is>
      </c>
    </row>
    <row r="226">
      <c r="A226" t="inlineStr">
        <is>
          <t>91004</t>
        </is>
      </c>
      <c r="B226" t="inlineStr">
        <is>
          <t>LAUREL PEANUT RICE BALL</t>
        </is>
      </c>
      <c r="C226" t="inlineStr">
        <is>
          <t>02224545615</t>
        </is>
      </c>
    </row>
    <row r="227">
      <c r="A227" t="inlineStr">
        <is>
          <t>91005</t>
        </is>
      </c>
      <c r="B227" t="inlineStr">
        <is>
          <t>LAUREL SESAME RICE BALL</t>
        </is>
      </c>
      <c r="C227" t="inlineStr">
        <is>
          <t>02224545203</t>
        </is>
      </c>
    </row>
    <row r="228">
      <c r="A228" t="inlineStr">
        <is>
          <t>94436</t>
        </is>
      </c>
      <c r="B228" t="inlineStr">
        <is>
          <t>LEEK CABBAGE PORK BUN (4P)</t>
        </is>
      </c>
      <c r="C228" t="inlineStr">
        <is>
          <t>74751897102</t>
        </is>
      </c>
    </row>
    <row r="229">
      <c r="A229" t="inlineStr">
        <is>
          <t>91502</t>
        </is>
      </c>
      <c r="B229" t="inlineStr">
        <is>
          <t>LITTLE ALLEY BURGER ROUGAMO BUNS 1KG</t>
        </is>
      </c>
      <c r="C229" t="inlineStr">
        <is>
          <t>08906791502</t>
        </is>
      </c>
    </row>
    <row r="230">
      <c r="A230" t="inlineStr"/>
      <c r="B230" t="inlineStr">
        <is>
          <t>LITTLE ALLEY HAND MADE SCALLION PANCAKE</t>
        </is>
      </c>
      <c r="C230" t="inlineStr">
        <is>
          <t>08906791592</t>
        </is>
      </c>
    </row>
    <row r="231">
      <c r="A231" t="inlineStr">
        <is>
          <t>42774</t>
        </is>
      </c>
      <c r="B231" t="inlineStr">
        <is>
          <t>LONG KOW VERMECELLI 10.5OZ</t>
        </is>
      </c>
      <c r="C231" t="inlineStr">
        <is>
          <t>08906742774</t>
        </is>
      </c>
    </row>
    <row r="232">
      <c r="A232" t="inlineStr">
        <is>
          <t>91124</t>
        </is>
      </c>
      <c r="B232" t="inlineStr">
        <is>
          <t>LV SPONGE DOUGH WHOLE WHEAT BUN 6P</t>
        </is>
      </c>
      <c r="C232" t="inlineStr">
        <is>
          <t>08906791124</t>
        </is>
      </c>
    </row>
    <row r="233">
      <c r="A233">
        <f>"471094000332"</f>
        <v/>
      </c>
      <c r="B233" t="inlineStr">
        <is>
          <t>LYCHEE KONJAC JELLY</t>
        </is>
      </c>
      <c r="C233" t="inlineStr">
        <is>
          <t>471094000332</t>
        </is>
      </c>
    </row>
    <row r="234">
      <c r="A234" t="inlineStr">
        <is>
          <t>91921</t>
        </is>
      </c>
      <c r="B234" t="inlineStr">
        <is>
          <t>M/T MILLE CREPE CAKE 12P</t>
        </is>
      </c>
      <c r="C234" t="inlineStr">
        <is>
          <t>471094000106</t>
        </is>
      </c>
    </row>
    <row r="235">
      <c r="A235" t="inlineStr">
        <is>
          <t>42860</t>
        </is>
      </c>
      <c r="B235" t="inlineStr">
        <is>
          <t>MAMA BIG BOWL PHO BEEF 6P</t>
        </is>
      </c>
      <c r="C235" t="inlineStr">
        <is>
          <t>05206600422</t>
        </is>
      </c>
    </row>
    <row r="236">
      <c r="A236" t="inlineStr">
        <is>
          <t>42705</t>
        </is>
      </c>
      <c r="B236" t="inlineStr">
        <is>
          <t>MAMA CHICKEN FLAVOR CUP</t>
        </is>
      </c>
      <c r="C236" t="inlineStr">
        <is>
          <t>05206600465</t>
        </is>
      </c>
    </row>
    <row r="237">
      <c r="A237" t="inlineStr">
        <is>
          <t>42866</t>
        </is>
      </c>
      <c r="B237" t="inlineStr">
        <is>
          <t>MAMA CHICKEN PORRIDGE SOUP 45G</t>
        </is>
      </c>
      <c r="C237" t="inlineStr">
        <is>
          <t>05206600130</t>
        </is>
      </c>
    </row>
    <row r="238">
      <c r="A238" t="inlineStr">
        <is>
          <t>42704</t>
        </is>
      </c>
      <c r="B238" t="inlineStr">
        <is>
          <t>MAMA CUP SHRIMP FLAVOR</t>
        </is>
      </c>
      <c r="C238" t="inlineStr">
        <is>
          <t>05206600378</t>
        </is>
      </c>
    </row>
    <row r="239">
      <c r="A239" t="inlineStr">
        <is>
          <t>42650</t>
        </is>
      </c>
      <c r="B239" t="inlineStr">
        <is>
          <t>MAMA HOT KOREA 4P</t>
        </is>
      </c>
      <c r="C239" t="inlineStr">
        <is>
          <t>05206600783</t>
        </is>
      </c>
    </row>
    <row r="240">
      <c r="A240" t="inlineStr">
        <is>
          <t>42833</t>
        </is>
      </c>
      <c r="B240" t="inlineStr">
        <is>
          <t>MAMA INSTANT CHICKEN 5P</t>
        </is>
      </c>
      <c r="C240" t="inlineStr">
        <is>
          <t>05206600347</t>
        </is>
      </c>
    </row>
    <row r="241">
      <c r="A241" t="inlineStr">
        <is>
          <t>42855</t>
        </is>
      </c>
      <c r="B241" t="inlineStr">
        <is>
          <t>MAMA NOODLES CHICKEN 55G</t>
        </is>
      </c>
      <c r="C241" t="inlineStr">
        <is>
          <t>5206600005</t>
        </is>
      </c>
    </row>
    <row r="242">
      <c r="A242" t="inlineStr">
        <is>
          <t>42853</t>
        </is>
      </c>
      <c r="B242" t="inlineStr">
        <is>
          <t>MAMA NOODLES PORK 60G</t>
        </is>
      </c>
      <c r="C242" t="inlineStr">
        <is>
          <t>5206600004</t>
        </is>
      </c>
    </row>
    <row r="243">
      <c r="A243" t="inlineStr">
        <is>
          <t>42853</t>
        </is>
      </c>
      <c r="B243" t="inlineStr">
        <is>
          <t>MAMA NOODLES PORK FLV 60G</t>
        </is>
      </c>
      <c r="C243" t="inlineStr">
        <is>
          <t>05206600004</t>
        </is>
      </c>
    </row>
    <row r="244">
      <c r="A244" t="inlineStr">
        <is>
          <t>42832</t>
        </is>
      </c>
      <c r="B244" t="inlineStr">
        <is>
          <t>MAMA NOODLES TOM YUM 5PK</t>
        </is>
      </c>
      <c r="C244" t="inlineStr">
        <is>
          <t>05206600346</t>
        </is>
      </c>
    </row>
    <row r="245">
      <c r="A245" t="inlineStr">
        <is>
          <t>42722</t>
        </is>
      </c>
      <c r="B245" t="inlineStr">
        <is>
          <t>MAMA PA LO DUCK FLV</t>
        </is>
      </c>
      <c r="C245" t="inlineStr">
        <is>
          <t>05206600920</t>
        </is>
      </c>
    </row>
    <row r="246">
      <c r="A246" t="inlineStr">
        <is>
          <t>42831</t>
        </is>
      </c>
      <c r="B246" t="inlineStr">
        <is>
          <t>MAMA PORK FLAVOUR NOODLES 30PCS</t>
        </is>
      </c>
      <c r="C246" t="inlineStr">
        <is>
          <t>05206600534</t>
        </is>
      </c>
    </row>
    <row r="247">
      <c r="A247" t="inlineStr">
        <is>
          <t>42831</t>
        </is>
      </c>
      <c r="B247" t="inlineStr">
        <is>
          <t>MAMA PORK NOODLE 5PKS</t>
        </is>
      </c>
      <c r="C247" t="inlineStr">
        <is>
          <t>05206600345</t>
        </is>
      </c>
    </row>
    <row r="248">
      <c r="A248" t="inlineStr">
        <is>
          <t>42703</t>
        </is>
      </c>
      <c r="B248" t="inlineStr">
        <is>
          <t>MAMA(PORK FLAVOR) CUP</t>
        </is>
      </c>
      <c r="C248" t="inlineStr">
        <is>
          <t>05206600375</t>
        </is>
      </c>
    </row>
    <row r="249">
      <c r="A249" t="inlineStr">
        <is>
          <t>12020</t>
        </is>
      </c>
      <c r="B249" t="inlineStr">
        <is>
          <t>MANDARINE ORG SEGMENTS 3KG</t>
        </is>
      </c>
      <c r="C249" t="inlineStr">
        <is>
          <t>08906712020</t>
        </is>
      </c>
    </row>
    <row r="250">
      <c r="A250" t="inlineStr">
        <is>
          <t>46102</t>
        </is>
      </c>
      <c r="B250" t="inlineStr">
        <is>
          <t>MANGO COCONUT ALOE 900ML</t>
        </is>
      </c>
      <c r="C250" t="inlineStr">
        <is>
          <t>08906746102</t>
        </is>
      </c>
    </row>
    <row r="251">
      <c r="A251" t="inlineStr">
        <is>
          <t>91298</t>
        </is>
      </c>
      <c r="B251" t="inlineStr">
        <is>
          <t>MINI RICE BALL</t>
        </is>
      </c>
      <c r="C251" t="inlineStr">
        <is>
          <t>888800313100</t>
        </is>
      </c>
    </row>
    <row r="252">
      <c r="A252" t="inlineStr">
        <is>
          <t>SMO370</t>
        </is>
      </c>
      <c r="B252" t="inlineStr">
        <is>
          <t>MIXBERRY SMOOTHIE 500ML</t>
        </is>
      </c>
      <c r="C252" t="inlineStr">
        <is>
          <t>88439400894</t>
        </is>
      </c>
    </row>
    <row r="253">
      <c r="A253" t="inlineStr">
        <is>
          <t>43241</t>
        </is>
      </c>
      <c r="B253" t="inlineStr">
        <is>
          <t>MOON CAKE 12PCS</t>
        </is>
      </c>
      <c r="C253" t="inlineStr">
        <is>
          <t>76641895119</t>
        </is>
      </c>
    </row>
    <row r="254">
      <c r="A254" t="inlineStr">
        <is>
          <t>43213</t>
        </is>
      </c>
      <c r="B254" t="inlineStr">
        <is>
          <t>MOON CAKE TARO 8PC</t>
        </is>
      </c>
      <c r="C254" t="inlineStr">
        <is>
          <t>76641814395</t>
        </is>
      </c>
    </row>
    <row r="255">
      <c r="A255" t="inlineStr">
        <is>
          <t>22087</t>
        </is>
      </c>
      <c r="B255" t="inlineStr">
        <is>
          <t>MP SWEET CHILI SAUCE 730ML</t>
        </is>
      </c>
      <c r="C255" t="inlineStr">
        <is>
          <t>04473807234</t>
        </is>
      </c>
    </row>
    <row r="256">
      <c r="A256">
        <f>"07127000757"</f>
        <v/>
      </c>
      <c r="B256" t="inlineStr">
        <is>
          <t>NATURAL HAM 340G</t>
        </is>
      </c>
      <c r="C256" t="inlineStr">
        <is>
          <t>07127000757</t>
        </is>
      </c>
    </row>
    <row r="257">
      <c r="A257" t="inlineStr">
        <is>
          <t>21995</t>
        </is>
      </c>
      <c r="B257" t="inlineStr">
        <is>
          <t>NC CHICKEN BROTH 14OZ</t>
        </is>
      </c>
      <c r="C257" t="inlineStr">
        <is>
          <t>09136101109</t>
        </is>
      </c>
    </row>
    <row r="258">
      <c r="A258" t="inlineStr">
        <is>
          <t>21937</t>
        </is>
      </c>
      <c r="B258" t="inlineStr">
        <is>
          <t>NC CHICKEN BROTH 42OZ</t>
        </is>
      </c>
      <c r="C258" t="inlineStr">
        <is>
          <t>09136101121</t>
        </is>
      </c>
    </row>
    <row r="259">
      <c r="A259" t="inlineStr">
        <is>
          <t>21990</t>
        </is>
      </c>
      <c r="B259" t="inlineStr">
        <is>
          <t>NC CHICKEN BROTH(NO MSG) 14OZ</t>
        </is>
      </c>
      <c r="C259" t="inlineStr">
        <is>
          <t>09136101111</t>
        </is>
      </c>
    </row>
    <row r="260">
      <c r="A260" t="inlineStr">
        <is>
          <t>21999</t>
        </is>
      </c>
      <c r="B260" t="inlineStr">
        <is>
          <t>NC PHO BEEF BROTH 14OZ</t>
        </is>
      </c>
      <c r="C260" t="inlineStr">
        <is>
          <t>09136101491</t>
        </is>
      </c>
    </row>
    <row r="261">
      <c r="A261" t="inlineStr">
        <is>
          <t>21986</t>
        </is>
      </c>
      <c r="B261" t="inlineStr">
        <is>
          <t>NC VEGETABLE BROTH 14OZ</t>
        </is>
      </c>
      <c r="C261" t="inlineStr">
        <is>
          <t>09136101555</t>
        </is>
      </c>
    </row>
    <row r="262">
      <c r="A262" t="inlineStr">
        <is>
          <t>46099</t>
        </is>
      </c>
      <c r="B262" t="inlineStr">
        <is>
          <t>OKF ALOE S/FREE 1.5L</t>
        </is>
      </c>
      <c r="C262" t="inlineStr">
        <is>
          <t>88439400249</t>
        </is>
      </c>
    </row>
    <row r="263">
      <c r="A263" t="inlineStr">
        <is>
          <t>46270</t>
        </is>
      </c>
      <c r="B263" t="inlineStr">
        <is>
          <t>OKF BLK SUGAR MATCHA 390ML</t>
        </is>
      </c>
      <c r="C263" t="inlineStr">
        <is>
          <t>88439400951</t>
        </is>
      </c>
    </row>
    <row r="264">
      <c r="A264" t="inlineStr">
        <is>
          <t>46271</t>
        </is>
      </c>
      <c r="B264" t="inlineStr">
        <is>
          <t>OKF BLK SUGAR MILK TEA 390ML</t>
        </is>
      </c>
      <c r="C264" t="inlineStr">
        <is>
          <t>88439400940</t>
        </is>
      </c>
    </row>
    <row r="265">
      <c r="A265" t="inlineStr">
        <is>
          <t>46083</t>
        </is>
      </c>
      <c r="B265" t="inlineStr">
        <is>
          <t>OKF COCONUT DRINK 1.5L</t>
        </is>
      </c>
      <c r="C265" t="inlineStr">
        <is>
          <t>88439400055</t>
        </is>
      </c>
    </row>
    <row r="266">
      <c r="A266" t="inlineStr">
        <is>
          <t>46126</t>
        </is>
      </c>
      <c r="B266" t="inlineStr">
        <is>
          <t>OKF MANGO ALOE 1.5L</t>
        </is>
      </c>
      <c r="C266" t="inlineStr">
        <is>
          <t>88439400211</t>
        </is>
      </c>
    </row>
    <row r="267">
      <c r="A267" t="inlineStr">
        <is>
          <t>46125</t>
        </is>
      </c>
      <c r="B267" t="inlineStr">
        <is>
          <t>OKF PEACH ALOE 1.5L</t>
        </is>
      </c>
      <c r="C267" t="inlineStr">
        <is>
          <t>88439400215</t>
        </is>
      </c>
    </row>
    <row r="268">
      <c r="A268" t="inlineStr">
        <is>
          <t>46127</t>
        </is>
      </c>
      <c r="B268" t="inlineStr">
        <is>
          <t>OKF PINEAPPLE ALOE 1.5L</t>
        </is>
      </c>
      <c r="C268" t="inlineStr">
        <is>
          <t>88439400217</t>
        </is>
      </c>
    </row>
    <row r="269">
      <c r="A269" t="inlineStr">
        <is>
          <t>46124</t>
        </is>
      </c>
      <c r="B269" t="inlineStr">
        <is>
          <t>OKF POMEGRANATE ALOE 1.5L</t>
        </is>
      </c>
      <c r="C269" t="inlineStr">
        <is>
          <t>88439400213</t>
        </is>
      </c>
    </row>
    <row r="270">
      <c r="A270" t="inlineStr">
        <is>
          <t>46123</t>
        </is>
      </c>
      <c r="B270" t="inlineStr">
        <is>
          <t>OKF STRAWBERRY ALOE 1.5L</t>
        </is>
      </c>
      <c r="C270" t="inlineStr">
        <is>
          <t>88439400219</t>
        </is>
      </c>
    </row>
    <row r="271">
      <c r="A271" t="inlineStr">
        <is>
          <t>22108</t>
        </is>
      </c>
      <c r="B271" t="inlineStr">
        <is>
          <t>ORGANIC DUMPLING SAUCE 6.7OZ</t>
        </is>
      </c>
      <c r="C271" t="inlineStr">
        <is>
          <t>7426128106</t>
        </is>
      </c>
    </row>
    <row r="272">
      <c r="A272" t="inlineStr">
        <is>
          <t>41195</t>
        </is>
      </c>
      <c r="B272" t="inlineStr">
        <is>
          <t>ORGANIC PICKLED CABBAGE</t>
        </is>
      </c>
      <c r="C272" t="inlineStr">
        <is>
          <t>08906741195</t>
        </is>
      </c>
    </row>
    <row r="273">
      <c r="A273">
        <f>"07426118015"</f>
        <v/>
      </c>
      <c r="B273" t="inlineStr">
        <is>
          <t>ORGANIC SOY SAUCE 450ML(W L)</t>
        </is>
      </c>
      <c r="C273" t="inlineStr">
        <is>
          <t>07426118015</t>
        </is>
      </c>
    </row>
    <row r="274">
      <c r="A274" t="inlineStr">
        <is>
          <t>22052</t>
        </is>
      </c>
      <c r="B274" t="inlineStr">
        <is>
          <t>ORGANIC SOY SAUCE LESS SODIUM</t>
        </is>
      </c>
      <c r="C274" t="inlineStr">
        <is>
          <t>07426118011</t>
        </is>
      </c>
    </row>
    <row r="275">
      <c r="A275" t="inlineStr">
        <is>
          <t>91227</t>
        </is>
      </c>
      <c r="B275" t="inlineStr">
        <is>
          <t>OTASTY BBQ PORK STEAMED BUN 852G</t>
        </is>
      </c>
      <c r="C275" t="inlineStr">
        <is>
          <t>79878266801</t>
        </is>
      </c>
    </row>
    <row r="276">
      <c r="A276" t="inlineStr">
        <is>
          <t>91228</t>
        </is>
      </c>
      <c r="B276" t="inlineStr">
        <is>
          <t>OTASTY CHICKEN/CHINESE SAUSAGE BUN 852G</t>
        </is>
      </c>
      <c r="C276" t="inlineStr">
        <is>
          <t>79878266802</t>
        </is>
      </c>
    </row>
    <row r="277">
      <c r="A277" t="inlineStr">
        <is>
          <t>91180</t>
        </is>
      </c>
      <c r="B277" t="inlineStr">
        <is>
          <t>OTASTY PORK/VEG DUMPLING 20 OZ</t>
        </is>
      </c>
      <c r="C277" t="inlineStr">
        <is>
          <t>79878244101</t>
        </is>
      </c>
    </row>
    <row r="278">
      <c r="A278" t="inlineStr">
        <is>
          <t>91184</t>
        </is>
      </c>
      <c r="B278" t="inlineStr">
        <is>
          <t>OTASTY SWEET CORN, VEG, PORK DUMPLING 20OOZ</t>
        </is>
      </c>
      <c r="C278" t="inlineStr">
        <is>
          <t>79878244925</t>
        </is>
      </c>
    </row>
    <row r="279">
      <c r="A279" t="inlineStr">
        <is>
          <t>91181</t>
        </is>
      </c>
      <c r="B279" t="inlineStr">
        <is>
          <t>OTASTY VEG, PORK, AND LEEK DUMPLING 20OZ</t>
        </is>
      </c>
      <c r="C279" t="inlineStr">
        <is>
          <t>79878244202</t>
        </is>
      </c>
    </row>
    <row r="280">
      <c r="A280" t="inlineStr">
        <is>
          <t>91217</t>
        </is>
      </c>
      <c r="B280" t="inlineStr">
        <is>
          <t>OTASTY VEGE/CHICKEN STEAM BUN 24OZ</t>
        </is>
      </c>
      <c r="C280" t="inlineStr">
        <is>
          <t>79878232414</t>
        </is>
      </c>
    </row>
    <row r="281">
      <c r="A281" t="inlineStr">
        <is>
          <t>23658</t>
        </is>
      </c>
      <c r="B281" t="inlineStr">
        <is>
          <t>PANTAI CANTONESE SUKI SAUCE 12OZ</t>
        </is>
      </c>
      <c r="C281" t="inlineStr">
        <is>
          <t>81612500043</t>
        </is>
      </c>
    </row>
    <row r="282">
      <c r="A282" t="inlineStr">
        <is>
          <t>23667</t>
        </is>
      </c>
      <c r="B282" t="inlineStr">
        <is>
          <t>PANTAI MUSHROOM SOY SAUCE 750ML</t>
        </is>
      </c>
      <c r="C282" t="inlineStr">
        <is>
          <t>81612500038</t>
        </is>
      </c>
    </row>
    <row r="283">
      <c r="A283" t="inlineStr">
        <is>
          <t>23683</t>
        </is>
      </c>
      <c r="B283" t="inlineStr">
        <is>
          <t>PANTAI OLIANG POWDER MIXED 1LB</t>
        </is>
      </c>
      <c r="C283" t="inlineStr">
        <is>
          <t>81612500007</t>
        </is>
      </c>
    </row>
    <row r="284">
      <c r="A284" t="inlineStr">
        <is>
          <t>23668</t>
        </is>
      </c>
      <c r="B284" t="inlineStr">
        <is>
          <t>PANTAI OYSTER SAUCE 730ML</t>
        </is>
      </c>
      <c r="C284" t="inlineStr">
        <is>
          <t>81612500034</t>
        </is>
      </c>
    </row>
    <row r="285">
      <c r="A285" t="inlineStr">
        <is>
          <t>23652</t>
        </is>
      </c>
      <c r="B285" t="inlineStr">
        <is>
          <t>PANTAI SAUCE SPRING ROLL 32.5 OZ</t>
        </is>
      </c>
      <c r="C285" t="inlineStr">
        <is>
          <t>81612500187</t>
        </is>
      </c>
    </row>
    <row r="286">
      <c r="A286" t="inlineStr">
        <is>
          <t>23695</t>
        </is>
      </c>
      <c r="B286" t="inlineStr">
        <is>
          <t>PANTAI SOY BEAN PASTE 730ML</t>
        </is>
      </c>
      <c r="C286" t="inlineStr">
        <is>
          <t>81612500024</t>
        </is>
      </c>
    </row>
    <row r="287">
      <c r="A287" t="inlineStr">
        <is>
          <t>23666</t>
        </is>
      </c>
      <c r="B287" t="inlineStr">
        <is>
          <t>PANTAI SRIRACHA HOT CHILLI SAUCE 435ML</t>
        </is>
      </c>
      <c r="C287" t="inlineStr">
        <is>
          <t>885005801080</t>
        </is>
      </c>
    </row>
    <row r="288">
      <c r="A288" t="inlineStr">
        <is>
          <t>23648</t>
        </is>
      </c>
      <c r="B288" t="inlineStr">
        <is>
          <t>PANTAI SWEET CHILI SAUCE 300ML</t>
        </is>
      </c>
      <c r="C288" t="inlineStr">
        <is>
          <t>81612500124</t>
        </is>
      </c>
    </row>
    <row r="289">
      <c r="A289" t="inlineStr">
        <is>
          <t>23652</t>
        </is>
      </c>
      <c r="B289" t="inlineStr">
        <is>
          <t>PANTAI SWEET/SPICY CHILI SAUCE 880G</t>
        </is>
      </c>
      <c r="C289" t="inlineStr">
        <is>
          <t>81612500226</t>
        </is>
      </c>
    </row>
    <row r="290">
      <c r="A290" t="inlineStr">
        <is>
          <t>44089</t>
        </is>
      </c>
      <c r="B290" t="inlineStr">
        <is>
          <t>PARTY DUO CHOCO&amp;MILK</t>
        </is>
      </c>
      <c r="C290" t="inlineStr">
        <is>
          <t>69464902005</t>
        </is>
      </c>
    </row>
    <row r="291">
      <c r="A291" t="inlineStr">
        <is>
          <t>44089</t>
        </is>
      </c>
      <c r="B291" t="inlineStr">
        <is>
          <t>PARTY DUO CHOCO&amp;MILK</t>
        </is>
      </c>
      <c r="C291" t="inlineStr">
        <is>
          <t>694649020057</t>
        </is>
      </c>
    </row>
    <row r="292">
      <c r="A292" t="inlineStr">
        <is>
          <t>44088</t>
        </is>
      </c>
      <c r="B292" t="inlineStr">
        <is>
          <t>PARTY DUO STRAWBERRY&amp;VANILLA</t>
        </is>
      </c>
      <c r="C292" t="inlineStr">
        <is>
          <t>69464902015</t>
        </is>
      </c>
    </row>
    <row r="293">
      <c r="A293" t="inlineStr">
        <is>
          <t>44088</t>
        </is>
      </c>
      <c r="B293" t="inlineStr">
        <is>
          <t>PARTY DUO STRAWBERRY&amp;VANILLA</t>
        </is>
      </c>
      <c r="C293" t="inlineStr">
        <is>
          <t>694649020156</t>
        </is>
      </c>
    </row>
    <row r="294">
      <c r="A294" t="inlineStr">
        <is>
          <t>44100</t>
        </is>
      </c>
      <c r="B294" t="inlineStr">
        <is>
          <t>PARTY ORANGE 250G</t>
        </is>
      </c>
      <c r="C294" t="inlineStr">
        <is>
          <t>69464900244</t>
        </is>
      </c>
    </row>
    <row r="295">
      <c r="A295" t="inlineStr">
        <is>
          <t>44100</t>
        </is>
      </c>
      <c r="B295" t="inlineStr">
        <is>
          <t>PARTY WAFERS ORANGE</t>
        </is>
      </c>
      <c r="C295" t="inlineStr">
        <is>
          <t>0069464900244</t>
        </is>
      </c>
    </row>
    <row r="296">
      <c r="A296" t="inlineStr">
        <is>
          <t>44100</t>
        </is>
      </c>
      <c r="B296" t="inlineStr">
        <is>
          <t>PARTY WAFERS ORANGE</t>
        </is>
      </c>
      <c r="C296" t="inlineStr">
        <is>
          <t>00694649002442</t>
        </is>
      </c>
    </row>
    <row r="297">
      <c r="A297">
        <f>"471094000554"</f>
        <v/>
      </c>
      <c r="B297" t="inlineStr">
        <is>
          <t>PASSION FRUIT KONJACJELLY</t>
        </is>
      </c>
      <c r="C297" t="inlineStr">
        <is>
          <t>471094000554</t>
        </is>
      </c>
    </row>
    <row r="298">
      <c r="A298" t="inlineStr">
        <is>
          <t>94466</t>
        </is>
      </c>
      <c r="B298" t="inlineStr">
        <is>
          <t>PEKING CHICKEN TERIYAKI BUN 685G</t>
        </is>
      </c>
      <c r="C298" t="inlineStr">
        <is>
          <t>74751806180</t>
        </is>
      </c>
    </row>
    <row r="299">
      <c r="A299" t="inlineStr">
        <is>
          <t>94454</t>
        </is>
      </c>
      <c r="B299" t="inlineStr">
        <is>
          <t>PEKING STEAMED BUN W/PORK 682G</t>
        </is>
      </c>
      <c r="C299" t="inlineStr">
        <is>
          <t>74751806179</t>
        </is>
      </c>
    </row>
    <row r="300">
      <c r="A300" t="inlineStr">
        <is>
          <t>94467</t>
        </is>
      </c>
      <c r="B300" t="inlineStr">
        <is>
          <t>PEKING STEAMED CAKES 426G</t>
        </is>
      </c>
      <c r="C300" t="inlineStr">
        <is>
          <t>74751899153</t>
        </is>
      </c>
    </row>
    <row r="301">
      <c r="A301" t="inlineStr">
        <is>
          <t>12404</t>
        </is>
      </c>
      <c r="B301" t="inlineStr">
        <is>
          <t>PINEAPPLE CHUNKS 4LB</t>
        </is>
      </c>
      <c r="C301" t="inlineStr">
        <is>
          <t>08906712404</t>
        </is>
      </c>
    </row>
    <row r="302">
      <c r="A302">
        <f>"02071722015"</f>
        <v/>
      </c>
      <c r="B302" t="inlineStr">
        <is>
          <t>PLUM SAUCE 15 OZ</t>
        </is>
      </c>
      <c r="C302" t="inlineStr">
        <is>
          <t>02071722015</t>
        </is>
      </c>
    </row>
    <row r="303">
      <c r="A303" t="inlineStr">
        <is>
          <t>94434</t>
        </is>
      </c>
      <c r="B303" t="inlineStr">
        <is>
          <t>PORK BUNS W/CABBAGE 4PCS</t>
        </is>
      </c>
      <c r="C303" t="inlineStr">
        <is>
          <t>74751897101</t>
        </is>
      </c>
    </row>
    <row r="304">
      <c r="A304" t="inlineStr">
        <is>
          <t>31031</t>
        </is>
      </c>
      <c r="B304" t="inlineStr">
        <is>
          <t>PORK FU DRIED PORK 4OZ</t>
        </is>
      </c>
      <c r="C304" t="inlineStr">
        <is>
          <t>01008210015</t>
        </is>
      </c>
    </row>
    <row r="305">
      <c r="A305">
        <f>"01008210014"</f>
        <v/>
      </c>
      <c r="B305" t="inlineStr">
        <is>
          <t>PORK SUNG 4OZ</t>
        </is>
      </c>
      <c r="C305" t="inlineStr">
        <is>
          <t>01008210014</t>
        </is>
      </c>
    </row>
    <row r="306">
      <c r="A306">
        <f>"02071780230"</f>
        <v/>
      </c>
      <c r="B306" t="inlineStr">
        <is>
          <t>POTASSIUMCARBONATE&amp;SODIUM203OZ</t>
        </is>
      </c>
      <c r="C306" t="inlineStr">
        <is>
          <t>02071780230</t>
        </is>
      </c>
    </row>
    <row r="307">
      <c r="A307" t="inlineStr">
        <is>
          <t>24731</t>
        </is>
      </c>
      <c r="B307" t="inlineStr">
        <is>
          <t>PREMIUM COOKING WINE</t>
        </is>
      </c>
      <c r="C307" t="inlineStr">
        <is>
          <t>693009632618</t>
        </is>
      </c>
    </row>
    <row r="308">
      <c r="A308">
        <f>"08906792321"</f>
        <v/>
      </c>
      <c r="B308" t="inlineStr">
        <is>
          <t>PRESERVED DUCK EGGS</t>
        </is>
      </c>
      <c r="C308" t="inlineStr">
        <is>
          <t>08906792321</t>
        </is>
      </c>
    </row>
    <row r="309">
      <c r="A309" t="inlineStr">
        <is>
          <t>42236</t>
        </is>
      </c>
      <c r="B309" t="inlineStr">
        <is>
          <t>PUMPKIN NOODLE 3LB</t>
        </is>
      </c>
      <c r="C309" t="inlineStr">
        <is>
          <t>08906742236</t>
        </is>
      </c>
    </row>
    <row r="310">
      <c r="A310" t="inlineStr">
        <is>
          <t>33010</t>
        </is>
      </c>
      <c r="B310" t="inlineStr">
        <is>
          <t>PURE CEYLON TEA 100BAGS</t>
        </is>
      </c>
      <c r="C310" t="inlineStr">
        <is>
          <t>479100316018</t>
        </is>
      </c>
    </row>
    <row r="311">
      <c r="A311" t="inlineStr">
        <is>
          <t>33008</t>
        </is>
      </c>
      <c r="B311" t="inlineStr">
        <is>
          <t>PURE JASMINE TEA 100BAGS</t>
        </is>
      </c>
      <c r="C311" t="inlineStr">
        <is>
          <t>08434460020</t>
        </is>
      </c>
    </row>
    <row r="312">
      <c r="A312" t="inlineStr">
        <is>
          <t>91838</t>
        </is>
      </c>
      <c r="B312" t="inlineStr">
        <is>
          <t>RED BEAN MOCHI</t>
        </is>
      </c>
      <c r="C312" t="inlineStr">
        <is>
          <t>02050500310</t>
        </is>
      </c>
    </row>
    <row r="313">
      <c r="A313" t="inlineStr">
        <is>
          <t>04253</t>
        </is>
      </c>
      <c r="B313" t="inlineStr">
        <is>
          <t>RED SKIN PEANUT 3LBS</t>
        </is>
      </c>
      <c r="C313" t="inlineStr">
        <is>
          <t>08906704249</t>
        </is>
      </c>
    </row>
    <row r="314">
      <c r="A314" t="inlineStr">
        <is>
          <t>91002</t>
        </is>
      </c>
      <c r="B314" t="inlineStr">
        <is>
          <t>RICE BALL RED BEAN (10PC)</t>
        </is>
      </c>
      <c r="C314" t="inlineStr">
        <is>
          <t>471001140241</t>
        </is>
      </c>
    </row>
    <row r="315">
      <c r="A315" t="inlineStr">
        <is>
          <t>91299</t>
        </is>
      </c>
      <c r="B315" t="inlineStr">
        <is>
          <t>RICE BALL S POTATO</t>
        </is>
      </c>
      <c r="C315" t="inlineStr">
        <is>
          <t>888800313101</t>
        </is>
      </c>
    </row>
    <row r="316">
      <c r="A316" t="inlineStr">
        <is>
          <t>02050</t>
        </is>
      </c>
      <c r="B316" t="inlineStr">
        <is>
          <t>RICE KING THAI SWEET RICE 2KG</t>
        </is>
      </c>
      <c r="C316" t="inlineStr">
        <is>
          <t>08906702050</t>
        </is>
      </c>
    </row>
    <row r="317">
      <c r="A317" t="inlineStr">
        <is>
          <t>91535</t>
        </is>
      </c>
      <c r="B317" t="inlineStr">
        <is>
          <t>RICE PAPER SPRING ROLL 480G</t>
        </is>
      </c>
      <c r="C317" t="inlineStr">
        <is>
          <t>08906791535</t>
        </is>
      </c>
    </row>
    <row r="318">
      <c r="A318" t="inlineStr">
        <is>
          <t>02168</t>
        </is>
      </c>
      <c r="B318" t="inlineStr">
        <is>
          <t>RK BROWN RICE 4.4LB</t>
        </is>
      </c>
      <c r="C318" t="inlineStr">
        <is>
          <t>08906702347</t>
        </is>
      </c>
    </row>
    <row r="319">
      <c r="A319" t="inlineStr">
        <is>
          <t>02015</t>
        </is>
      </c>
      <c r="B319" t="inlineStr">
        <is>
          <t>RK RED RICE 4LB</t>
        </is>
      </c>
      <c r="C319" t="inlineStr">
        <is>
          <t>08906702015</t>
        </is>
      </c>
    </row>
    <row r="320">
      <c r="A320">
        <f>"08906724170"</f>
        <v/>
      </c>
      <c r="B320" t="inlineStr">
        <is>
          <t>ROASTED CHILI SAUCE</t>
        </is>
      </c>
      <c r="C320" t="inlineStr">
        <is>
          <t>08906724170</t>
        </is>
      </c>
    </row>
    <row r="321">
      <c r="A321" t="inlineStr">
        <is>
          <t>91324</t>
        </is>
      </c>
      <c r="B321" t="inlineStr">
        <is>
          <t>ROTI PARATHA PLAIN 5PCS</t>
        </is>
      </c>
      <c r="C321" t="inlineStr">
        <is>
          <t>888800365240</t>
        </is>
      </c>
    </row>
    <row r="322">
      <c r="A322" t="inlineStr">
        <is>
          <t>91327</t>
        </is>
      </c>
      <c r="B322" t="inlineStr">
        <is>
          <t>ROTI PARATHA WHOLE WHEAT 5PCS</t>
        </is>
      </c>
      <c r="C322" t="inlineStr">
        <is>
          <t>888800306091</t>
        </is>
      </c>
    </row>
    <row r="323">
      <c r="A323">
        <f>"08906791576"</f>
        <v/>
      </c>
      <c r="B323" t="inlineStr">
        <is>
          <t>ROUGAMO BUNS</t>
        </is>
      </c>
      <c r="C323" t="inlineStr">
        <is>
          <t>08906791576</t>
        </is>
      </c>
    </row>
    <row r="324">
      <c r="A324" t="inlineStr">
        <is>
          <t>23462</t>
        </is>
      </c>
      <c r="B324" t="inlineStr">
        <is>
          <t>SALTED BLACK BEAN 500G</t>
        </is>
      </c>
      <c r="C324" t="inlineStr">
        <is>
          <t>08906723462</t>
        </is>
      </c>
    </row>
    <row r="325">
      <c r="A325" t="inlineStr">
        <is>
          <t>91315</t>
        </is>
      </c>
      <c r="B325" t="inlineStr">
        <is>
          <t>SAMOSAS VEGETABLE</t>
        </is>
      </c>
      <c r="C325" t="inlineStr">
        <is>
          <t>3104</t>
        </is>
      </c>
    </row>
    <row r="326">
      <c r="A326" t="inlineStr">
        <is>
          <t>45853</t>
        </is>
      </c>
      <c r="B326" t="inlineStr">
        <is>
          <t>SEAWEED EGG ROLL</t>
        </is>
      </c>
      <c r="C326" t="inlineStr">
        <is>
          <t>4711452006514</t>
        </is>
      </c>
    </row>
    <row r="327">
      <c r="A327" t="inlineStr">
        <is>
          <t>24267</t>
        </is>
      </c>
      <c r="B327" t="inlineStr">
        <is>
          <t>SESAME OIL 1 GAL</t>
        </is>
      </c>
      <c r="C327" t="inlineStr">
        <is>
          <t>08906724267</t>
        </is>
      </c>
    </row>
    <row r="328">
      <c r="A328">
        <f>"01008210027"</f>
        <v/>
      </c>
      <c r="B328" t="inlineStr">
        <is>
          <t>SESAMESEED&amp;SEAWEED PORTSUNG</t>
        </is>
      </c>
      <c r="C328" t="inlineStr">
        <is>
          <t>01008210027</t>
        </is>
      </c>
    </row>
    <row r="329">
      <c r="A329" t="inlineStr">
        <is>
          <t>91563</t>
        </is>
      </c>
      <c r="B329" t="inlineStr">
        <is>
          <t>SHANGHAI FRESH NOODLE</t>
        </is>
      </c>
      <c r="C329" t="inlineStr">
        <is>
          <t>08906791563</t>
        </is>
      </c>
    </row>
    <row r="330">
      <c r="A330" t="inlineStr">
        <is>
          <t>42764</t>
        </is>
      </c>
      <c r="B330" t="inlineStr">
        <is>
          <t>SHANXI DAO XIAO RAMEN 5PK</t>
        </is>
      </c>
      <c r="C330" t="inlineStr">
        <is>
          <t>692155557376</t>
        </is>
      </c>
    </row>
    <row r="331">
      <c r="A331" t="inlineStr">
        <is>
          <t>91562</t>
        </is>
      </c>
      <c r="B331" t="inlineStr">
        <is>
          <t>SHANXI FRESH NOODLE 2LBS</t>
        </is>
      </c>
      <c r="C331" t="inlineStr">
        <is>
          <t>8906791562</t>
        </is>
      </c>
    </row>
    <row r="332">
      <c r="A332" t="inlineStr">
        <is>
          <t>91713</t>
        </is>
      </c>
      <c r="B332" t="inlineStr">
        <is>
          <t>SHAO MEI ICE BARS BOBA MATCHA 4PCS</t>
        </is>
      </c>
      <c r="C332" t="inlineStr">
        <is>
          <t>471012220509</t>
        </is>
      </c>
    </row>
    <row r="333">
      <c r="A333" t="inlineStr">
        <is>
          <t>24769</t>
        </is>
      </c>
      <c r="B333" t="inlineStr">
        <is>
          <t>SHAO XING COOKING WINE 750ML</t>
        </is>
      </c>
      <c r="C333" t="inlineStr">
        <is>
          <t>08906724769</t>
        </is>
      </c>
    </row>
    <row r="334">
      <c r="A334" t="inlineStr">
        <is>
          <t>91702</t>
        </is>
      </c>
      <c r="B334" t="inlineStr">
        <is>
          <t>SHAOMEI BROWN SUGAR ICE BAR 4P</t>
        </is>
      </c>
      <c r="C334" t="inlineStr">
        <is>
          <t>471012220497</t>
        </is>
      </c>
    </row>
    <row r="335">
      <c r="A335" t="inlineStr">
        <is>
          <t>91733</t>
        </is>
      </c>
      <c r="B335" t="inlineStr">
        <is>
          <t>SHAOMEI LEMON/GUAVA ICE BAR 4PC</t>
        </is>
      </c>
      <c r="C335" t="inlineStr">
        <is>
          <t>471012220540</t>
        </is>
      </c>
    </row>
    <row r="336">
      <c r="A336" t="inlineStr">
        <is>
          <t>91822</t>
        </is>
      </c>
      <c r="B336" t="inlineStr">
        <is>
          <t>SHAOMEI PAPAYA ICE BAR 4PK</t>
        </is>
      </c>
      <c r="C336" t="inlineStr">
        <is>
          <t>471012220588</t>
        </is>
      </c>
    </row>
    <row r="337">
      <c r="A337" t="inlineStr">
        <is>
          <t>91813</t>
        </is>
      </c>
      <c r="B337" t="inlineStr">
        <is>
          <t>SHAOMEI QQ PUDDING ICE BAR 4PK</t>
        </is>
      </c>
      <c r="C337" t="inlineStr">
        <is>
          <t>471012220879</t>
        </is>
      </c>
    </row>
    <row r="338">
      <c r="A338" t="inlineStr">
        <is>
          <t>91732</t>
        </is>
      </c>
      <c r="B338" t="inlineStr">
        <is>
          <t>SHAOMEI ROSE&amp;PEACH ICE BAR 4PC</t>
        </is>
      </c>
      <c r="C338" t="inlineStr">
        <is>
          <t>471012220534</t>
        </is>
      </c>
    </row>
    <row r="339">
      <c r="A339" t="inlineStr">
        <is>
          <t>91715</t>
        </is>
      </c>
      <c r="B339" t="inlineStr">
        <is>
          <t>SHAOMEI SODA/CITRUS ICE BAR 4PCS</t>
        </is>
      </c>
      <c r="C339" t="inlineStr">
        <is>
          <t>471012220513</t>
        </is>
      </c>
    </row>
    <row r="340">
      <c r="A340" t="inlineStr">
        <is>
          <t>91710</t>
        </is>
      </c>
      <c r="B340" t="inlineStr">
        <is>
          <t>SHAOMEI TARO CHUNKS ICE BAR 4PS</t>
        </is>
      </c>
      <c r="C340" t="inlineStr">
        <is>
          <t>471012220504</t>
        </is>
      </c>
    </row>
    <row r="341">
      <c r="A341" t="inlineStr">
        <is>
          <t>91736</t>
        </is>
      </c>
      <c r="B341" t="inlineStr">
        <is>
          <t>SHAOMEI TROPICAL ICE POP 4PC</t>
        </is>
      </c>
      <c r="C341" t="inlineStr">
        <is>
          <t>471012220523</t>
        </is>
      </c>
    </row>
    <row r="342">
      <c r="A342" t="inlineStr">
        <is>
          <t>91531</t>
        </is>
      </c>
      <c r="B342" t="inlineStr">
        <is>
          <t>SHRIMP HAUKAU 500G</t>
        </is>
      </c>
      <c r="C342" t="inlineStr">
        <is>
          <t>08906791531</t>
        </is>
      </c>
    </row>
    <row r="343">
      <c r="A343" t="inlineStr">
        <is>
          <t>42210</t>
        </is>
      </c>
      <c r="B343" t="inlineStr">
        <is>
          <t>SHRIMP NOODLE THIN 16OZ</t>
        </is>
      </c>
      <c r="C343" t="inlineStr">
        <is>
          <t>64595600101</t>
        </is>
      </c>
    </row>
    <row r="344">
      <c r="A344" t="inlineStr">
        <is>
          <t>91533</t>
        </is>
      </c>
      <c r="B344" t="inlineStr">
        <is>
          <t>SHRIMP ROLL 550G</t>
        </is>
      </c>
      <c r="C344" t="inlineStr">
        <is>
          <t>08906791533</t>
        </is>
      </c>
    </row>
    <row r="345">
      <c r="A345" t="inlineStr">
        <is>
          <t>91532</t>
        </is>
      </c>
      <c r="B345" t="inlineStr">
        <is>
          <t>SHRIMP SHAOMAI 25G</t>
        </is>
      </c>
      <c r="C345" t="inlineStr">
        <is>
          <t>08906791532</t>
        </is>
      </c>
    </row>
    <row r="346">
      <c r="A346" t="inlineStr">
        <is>
          <t>42651</t>
        </is>
      </c>
      <c r="B346" t="inlineStr">
        <is>
          <t>SHRIMP TOMYUM SF/NOODLE 4P</t>
        </is>
      </c>
      <c r="C346" t="inlineStr">
        <is>
          <t>05206600780</t>
        </is>
      </c>
    </row>
    <row r="347">
      <c r="A347" t="inlineStr">
        <is>
          <t>91350</t>
        </is>
      </c>
      <c r="B347" t="inlineStr">
        <is>
          <t>SHRIMP WONTON RAMEN 10.9OZ</t>
        </is>
      </c>
      <c r="C347" t="inlineStr">
        <is>
          <t>78052651294</t>
        </is>
      </c>
    </row>
    <row r="348">
      <c r="A348" t="inlineStr">
        <is>
          <t>91821</t>
        </is>
      </c>
      <c r="B348" t="inlineStr">
        <is>
          <t>SM MANGO G/FRUIT TAPIOCA ICE BAR 4PCS</t>
        </is>
      </c>
      <c r="C348" t="inlineStr">
        <is>
          <t>471012220586</t>
        </is>
      </c>
    </row>
    <row r="349">
      <c r="A349" t="inlineStr">
        <is>
          <t>42922</t>
        </is>
      </c>
      <c r="B349" t="inlineStr">
        <is>
          <t>SPICY BEEF NOODLE CUP 116G</t>
        </is>
      </c>
      <c r="C349" t="inlineStr">
        <is>
          <t>692155557156</t>
        </is>
      </c>
    </row>
    <row r="350">
      <c r="A350">
        <f>"693260540092"</f>
        <v/>
      </c>
      <c r="B350" t="inlineStr">
        <is>
          <t>SPICY GARLIC SAUCE</t>
        </is>
      </c>
      <c r="C350" t="inlineStr">
        <is>
          <t>693260540092</t>
        </is>
      </c>
    </row>
    <row r="351">
      <c r="A351" t="inlineStr">
        <is>
          <t>91246</t>
        </is>
      </c>
      <c r="B351" t="inlineStr">
        <is>
          <t>SPRING ROLL SHELLS 25 PCS</t>
        </is>
      </c>
      <c r="C351" t="inlineStr">
        <is>
          <t>7286971002</t>
        </is>
      </c>
    </row>
    <row r="352">
      <c r="A352" t="inlineStr">
        <is>
          <t>33073</t>
        </is>
      </c>
      <c r="B352" t="inlineStr">
        <is>
          <t>STANDARD JASMINE TEA</t>
        </is>
      </c>
      <c r="C352" t="inlineStr">
        <is>
          <t>07478130402</t>
        </is>
      </c>
    </row>
    <row r="353">
      <c r="A353" t="inlineStr">
        <is>
          <t>33004</t>
        </is>
      </c>
      <c r="B353" t="inlineStr">
        <is>
          <t>STASSEN JASMINE GREEN TEA 37.5G</t>
        </is>
      </c>
      <c r="C353" t="inlineStr">
        <is>
          <t>479100346013</t>
        </is>
      </c>
    </row>
    <row r="354">
      <c r="A354" t="inlineStr">
        <is>
          <t>33016</t>
        </is>
      </c>
      <c r="B354" t="inlineStr">
        <is>
          <t>STASSEN PURE CEYLON TEA 50G</t>
        </is>
      </c>
      <c r="C354" t="inlineStr">
        <is>
          <t>479100316017</t>
        </is>
      </c>
    </row>
    <row r="355">
      <c r="A355" t="inlineStr"/>
      <c r="B355" t="inlineStr">
        <is>
          <t>STEAM BUN VEGETABLE 685G</t>
        </is>
      </c>
      <c r="C355" t="inlineStr">
        <is>
          <t>74751800156</t>
        </is>
      </c>
    </row>
    <row r="356">
      <c r="A356" t="inlineStr">
        <is>
          <t>94435</t>
        </is>
      </c>
      <c r="B356" t="inlineStr">
        <is>
          <t>STEAMED PORK BUNS 4PCS</t>
        </is>
      </c>
      <c r="C356" t="inlineStr">
        <is>
          <t>74751897103</t>
        </is>
      </c>
    </row>
    <row r="357">
      <c r="A357" t="inlineStr">
        <is>
          <t>42920</t>
        </is>
      </c>
      <c r="B357" t="inlineStr">
        <is>
          <t>STEW BEEF NOODLE CUP 116G</t>
        </is>
      </c>
      <c r="C357" t="inlineStr">
        <is>
          <t>692155557186</t>
        </is>
      </c>
    </row>
    <row r="358">
      <c r="A358" t="inlineStr">
        <is>
          <t>22058</t>
        </is>
      </c>
      <c r="B358" t="inlineStr">
        <is>
          <t>STIR FRY SAUCE 16.9OZ</t>
        </is>
      </c>
      <c r="C358" t="inlineStr">
        <is>
          <t>07426116116</t>
        </is>
      </c>
    </row>
    <row r="359">
      <c r="A359" t="inlineStr">
        <is>
          <t>91926</t>
        </is>
      </c>
      <c r="B359" t="inlineStr">
        <is>
          <t>STRAWBERRY M/CREPE CAKE 720G</t>
        </is>
      </c>
      <c r="C359" t="inlineStr">
        <is>
          <t>471094000209</t>
        </is>
      </c>
    </row>
    <row r="360">
      <c r="A360" t="inlineStr">
        <is>
          <t>43669</t>
        </is>
      </c>
      <c r="B360" t="inlineStr">
        <is>
          <t>SUNFLOWER SEED PEPPER 160G</t>
        </is>
      </c>
      <c r="C360" t="inlineStr">
        <is>
          <t>885955960163</t>
        </is>
      </c>
    </row>
    <row r="361">
      <c r="A361">
        <f>"07426115151"</f>
        <v/>
      </c>
      <c r="B361" t="inlineStr">
        <is>
          <t>SWEET COOKING RICE WINE 1.5L</t>
        </is>
      </c>
      <c r="C361" t="inlineStr">
        <is>
          <t>07426115151</t>
        </is>
      </c>
    </row>
    <row r="362">
      <c r="A362">
        <f>"08906711644"</f>
        <v/>
      </c>
      <c r="B362" t="inlineStr">
        <is>
          <t>SWEET CORN CREAM STYLE 14.75OZ</t>
        </is>
      </c>
      <c r="C362" t="inlineStr">
        <is>
          <t>08906711644</t>
        </is>
      </c>
    </row>
    <row r="363">
      <c r="A363" t="inlineStr">
        <is>
          <t>02078</t>
        </is>
      </c>
      <c r="B363" t="inlineStr">
        <is>
          <t>SWEET RICE CALIFORNIA 4.4LB</t>
        </is>
      </c>
      <c r="C363" t="inlineStr">
        <is>
          <t>08906702078</t>
        </is>
      </c>
    </row>
    <row r="364">
      <c r="A364">
        <f>"07426105003"</f>
        <v/>
      </c>
      <c r="B364" t="inlineStr">
        <is>
          <t>SWEET SOY GLAZE(W/J/S)</t>
        </is>
      </c>
      <c r="C364" t="inlineStr">
        <is>
          <t>07426105003</t>
        </is>
      </c>
    </row>
    <row r="365">
      <c r="A365" t="inlineStr">
        <is>
          <t>05411</t>
        </is>
      </c>
      <c r="B365" t="inlineStr">
        <is>
          <t>TAPIOCA STARCH</t>
        </is>
      </c>
      <c r="C365" t="inlineStr">
        <is>
          <t>08906705411</t>
        </is>
      </c>
    </row>
    <row r="366">
      <c r="A366" t="inlineStr">
        <is>
          <t>91924</t>
        </is>
      </c>
      <c r="B366" t="inlineStr">
        <is>
          <t>TARO MILLE CREPE CAKE 936G</t>
        </is>
      </c>
      <c r="C366" t="inlineStr">
        <is>
          <t>471094000252</t>
        </is>
      </c>
    </row>
    <row r="367">
      <c r="A367" t="inlineStr">
        <is>
          <t>99064</t>
        </is>
      </c>
      <c r="B367" t="inlineStr">
        <is>
          <t>TEA MOON CAKE</t>
        </is>
      </c>
      <c r="C367" t="inlineStr">
        <is>
          <t>76641812740</t>
        </is>
      </c>
    </row>
    <row r="368">
      <c r="A368" t="inlineStr">
        <is>
          <t>22027</t>
        </is>
      </c>
      <c r="B368" t="inlineStr">
        <is>
          <t>TERIYAKISAUCE 10OZ</t>
        </is>
      </c>
      <c r="C368" t="inlineStr">
        <is>
          <t>07426113010</t>
        </is>
      </c>
    </row>
    <row r="369">
      <c r="A369" t="inlineStr">
        <is>
          <t>22499</t>
        </is>
      </c>
      <c r="B369" t="inlineStr">
        <is>
          <t>TOFU EXTRA FIRM GREEN 12.3OZ</t>
        </is>
      </c>
      <c r="C369" t="inlineStr">
        <is>
          <t>08569660840</t>
        </is>
      </c>
    </row>
    <row r="370">
      <c r="A370" t="inlineStr">
        <is>
          <t>22498</t>
        </is>
      </c>
      <c r="B370" t="inlineStr">
        <is>
          <t>TOFU FIRM BLUE 12.3OZ</t>
        </is>
      </c>
      <c r="C370" t="inlineStr">
        <is>
          <t>08569660835</t>
        </is>
      </c>
    </row>
    <row r="371">
      <c r="A371" t="inlineStr">
        <is>
          <t>22497</t>
        </is>
      </c>
      <c r="B371" t="inlineStr">
        <is>
          <t>TOFU SOFT RED 12.3OZ</t>
        </is>
      </c>
      <c r="C371" t="inlineStr">
        <is>
          <t>08569660830</t>
        </is>
      </c>
    </row>
    <row r="372">
      <c r="A372" t="inlineStr">
        <is>
          <t>91270</t>
        </is>
      </c>
      <c r="B372" t="inlineStr">
        <is>
          <t>TYJ SPRING ROLL 6 INCH</t>
        </is>
      </c>
      <c r="C372" t="inlineStr">
        <is>
          <t>888800315050</t>
        </is>
      </c>
    </row>
    <row r="373">
      <c r="A373" t="inlineStr">
        <is>
          <t>91273</t>
        </is>
      </c>
      <c r="B373" t="inlineStr">
        <is>
          <t>TYJ SPRING ROLL PASTRY 40SH</t>
        </is>
      </c>
      <c r="C373" t="inlineStr">
        <is>
          <t>02757821540</t>
        </is>
      </c>
    </row>
    <row r="374">
      <c r="A374" t="inlineStr">
        <is>
          <t>91272</t>
        </is>
      </c>
      <c r="B374" t="inlineStr">
        <is>
          <t>TYJ SPRING ROLL PASTRY 50SH</t>
        </is>
      </c>
      <c r="C374" t="inlineStr">
        <is>
          <t>02757819050</t>
        </is>
      </c>
    </row>
    <row r="375">
      <c r="A375" t="inlineStr">
        <is>
          <t>91271</t>
        </is>
      </c>
      <c r="B375" t="inlineStr">
        <is>
          <t>TYJ SPRING ROLL PASTRY 50SH/8.8OZ</t>
        </is>
      </c>
      <c r="C375" t="inlineStr">
        <is>
          <t>02757812550</t>
        </is>
      </c>
    </row>
    <row r="376">
      <c r="A376" t="inlineStr">
        <is>
          <t>91268</t>
        </is>
      </c>
      <c r="B376" t="inlineStr">
        <is>
          <t>TYJ SPRING ROLL WRAP 10 INCH</t>
        </is>
      </c>
      <c r="C376" t="inlineStr">
        <is>
          <t>02757825030</t>
        </is>
      </c>
    </row>
    <row r="377">
      <c r="A377" t="inlineStr">
        <is>
          <t>91906</t>
        </is>
      </c>
      <c r="B377" t="inlineStr">
        <is>
          <t>UMEYA DAIFUKU MOCHI 212G</t>
        </is>
      </c>
      <c r="C377" t="inlineStr">
        <is>
          <t>08906791906</t>
        </is>
      </c>
    </row>
    <row r="378">
      <c r="A378" t="inlineStr">
        <is>
          <t>91907</t>
        </is>
      </c>
      <c r="B378" t="inlineStr">
        <is>
          <t>UMEYA MUGWORT MOCHI 212G</t>
        </is>
      </c>
      <c r="C378" t="inlineStr">
        <is>
          <t>08906791907</t>
        </is>
      </c>
    </row>
    <row r="379">
      <c r="A379" t="inlineStr"/>
      <c r="B379" t="inlineStr">
        <is>
          <t>UNSWEET OOLONG TEA 2L</t>
        </is>
      </c>
      <c r="C379" t="inlineStr">
        <is>
          <t>76162801021</t>
        </is>
      </c>
    </row>
    <row r="380">
      <c r="A380" t="inlineStr">
        <is>
          <t>91573</t>
        </is>
      </c>
      <c r="B380" t="inlineStr">
        <is>
          <t>VEGETABLE SPRING ROLLS 20PCS</t>
        </is>
      </c>
      <c r="C380" t="inlineStr">
        <is>
          <t>08906791573</t>
        </is>
      </c>
    </row>
    <row r="381">
      <c r="A381" t="inlineStr">
        <is>
          <t>94437</t>
        </is>
      </c>
      <c r="B381" t="inlineStr">
        <is>
          <t>VEGETABLE STEAMED BUN 3BUNS</t>
        </is>
      </c>
      <c r="C381" t="inlineStr">
        <is>
          <t>0880106811441</t>
        </is>
      </c>
    </row>
    <row r="382">
      <c r="A382" t="inlineStr">
        <is>
          <t>91194</t>
        </is>
      </c>
      <c r="B382" t="inlineStr">
        <is>
          <t>VEGETABLE&amp;PORK POTSTICKER 2LB</t>
        </is>
      </c>
      <c r="C382" t="inlineStr">
        <is>
          <t>79878245111</t>
        </is>
      </c>
    </row>
    <row r="383">
      <c r="A383">
        <f>"07426104030"</f>
        <v/>
      </c>
      <c r="B383" t="inlineStr">
        <is>
          <t>VEGETARIAN MUSHROOM OYSTER</t>
        </is>
      </c>
      <c r="C383" t="inlineStr">
        <is>
          <t>07426104030</t>
        </is>
      </c>
    </row>
    <row r="384">
      <c r="A384" t="inlineStr">
        <is>
          <t>70535</t>
        </is>
      </c>
      <c r="B384" t="inlineStr">
        <is>
          <t>VENUS FISH BALLS 8 OZ</t>
        </is>
      </c>
      <c r="C384" t="inlineStr">
        <is>
          <t>03297125299</t>
        </is>
      </c>
    </row>
    <row r="385">
      <c r="A385" t="inlineStr">
        <is>
          <t>24435</t>
        </is>
      </c>
      <c r="B385" t="inlineStr">
        <is>
          <t>VINEGAR 480ML</t>
        </is>
      </c>
      <c r="C385" t="inlineStr">
        <is>
          <t>690375810008</t>
        </is>
      </c>
    </row>
    <row r="386">
      <c r="A386" t="inlineStr">
        <is>
          <t>22123</t>
        </is>
      </c>
      <c r="B386" t="inlineStr">
        <is>
          <t>VINTAGE SOY SAUCE</t>
        </is>
      </c>
      <c r="C386" t="inlineStr">
        <is>
          <t>07426104123</t>
        </is>
      </c>
    </row>
    <row r="387">
      <c r="A387">
        <f>"69464900481"</f>
        <v/>
      </c>
      <c r="B387" t="inlineStr">
        <is>
          <t>WAFERS WITH PASSION FRUIT</t>
        </is>
      </c>
      <c r="C387" t="inlineStr">
        <is>
          <t>69464900481</t>
        </is>
      </c>
    </row>
    <row r="388">
      <c r="A388" t="inlineStr"/>
      <c r="B388" t="inlineStr">
        <is>
          <t>WALNUT / LB</t>
        </is>
      </c>
      <c r="C388" t="inlineStr"/>
    </row>
    <row r="389">
      <c r="A389" t="inlineStr">
        <is>
          <t>44623</t>
        </is>
      </c>
      <c r="B389" t="inlineStr">
        <is>
          <t>WHEAT CRACKER TOMATO 60G</t>
        </is>
      </c>
      <c r="C389" t="inlineStr">
        <is>
          <t>693405486457</t>
        </is>
      </c>
    </row>
    <row r="390">
      <c r="A390" t="inlineStr">
        <is>
          <t>03141</t>
        </is>
      </c>
      <c r="B390" t="inlineStr">
        <is>
          <t>WHITE QUINOA ORGANIC 2LB</t>
        </is>
      </c>
      <c r="C390" t="inlineStr">
        <is>
          <t>08906703141</t>
        </is>
      </c>
    </row>
    <row r="391">
      <c r="A391" t="inlineStr">
        <is>
          <t>42233</t>
        </is>
      </c>
      <c r="B391" t="inlineStr">
        <is>
          <t>WIDE DRIED NOODLE 5LB</t>
        </is>
      </c>
      <c r="C391" t="inlineStr">
        <is>
          <t>08906742233</t>
        </is>
      </c>
    </row>
    <row r="392">
      <c r="A392">
        <f>"07426104410"</f>
        <v/>
      </c>
      <c r="B392" t="inlineStr">
        <is>
          <t>WJS CITRUS SEASONED SOY SAUCE 296M</t>
        </is>
      </c>
      <c r="C392" t="inlineStr">
        <is>
          <t>07426104410</t>
        </is>
      </c>
    </row>
    <row r="393">
      <c r="A393" t="inlineStr">
        <is>
          <t>22068</t>
        </is>
      </c>
      <c r="B393" t="inlineStr">
        <is>
          <t>WJS DIPPING SAUCE 11OZ</t>
        </is>
      </c>
      <c r="C393" t="inlineStr">
        <is>
          <t>07426104210</t>
        </is>
      </c>
    </row>
    <row r="394">
      <c r="A394" t="inlineStr">
        <is>
          <t>22041</t>
        </is>
      </c>
      <c r="B394" t="inlineStr">
        <is>
          <t>WJS DUMPLING SAUCE 10OZ</t>
        </is>
      </c>
      <c r="C394" t="inlineStr">
        <is>
          <t>07426104110</t>
        </is>
      </c>
    </row>
    <row r="395">
      <c r="A395" t="inlineStr">
        <is>
          <t>22143</t>
        </is>
      </c>
      <c r="B395" t="inlineStr">
        <is>
          <t>WJS DUMPLING SAUCE 200ML</t>
        </is>
      </c>
      <c r="C395" t="inlineStr">
        <is>
          <t>07426104106</t>
        </is>
      </c>
    </row>
    <row r="396">
      <c r="A396">
        <f>"07426116030"</f>
        <v/>
      </c>
      <c r="B396" t="inlineStr">
        <is>
          <t>WJS FRUIT VINEGAR</t>
        </is>
      </c>
      <c r="C396" t="inlineStr">
        <is>
          <t>07426116030</t>
        </is>
      </c>
    </row>
    <row r="397">
      <c r="A397" t="inlineStr">
        <is>
          <t>22056</t>
        </is>
      </c>
      <c r="B397" t="inlineStr">
        <is>
          <t>WJS G/FREE TAMARI SOY SAUCE 10OZ</t>
        </is>
      </c>
      <c r="C397" t="inlineStr">
        <is>
          <t>07426118210</t>
        </is>
      </c>
    </row>
    <row r="398">
      <c r="A398" t="inlineStr">
        <is>
          <t>22142</t>
        </is>
      </c>
      <c r="B398" t="inlineStr">
        <is>
          <t>WJS KELP PONZU 15OZ</t>
        </is>
      </c>
      <c r="C398" t="inlineStr">
        <is>
          <t>07426105391</t>
        </is>
      </c>
    </row>
    <row r="399">
      <c r="A399" t="inlineStr">
        <is>
          <t>22471</t>
        </is>
      </c>
      <c r="B399" t="inlineStr">
        <is>
          <t>WJS ORG WORCESTERSHIRE 15OZ</t>
        </is>
      </c>
      <c r="C399" t="inlineStr">
        <is>
          <t>07426118515</t>
        </is>
      </c>
    </row>
    <row r="400">
      <c r="A400" t="inlineStr">
        <is>
          <t>22094</t>
        </is>
      </c>
      <c r="B400" t="inlineStr">
        <is>
          <t>WJS ORG/PONZU SOY SAUCE 10OZ</t>
        </is>
      </c>
      <c r="C400" t="inlineStr">
        <is>
          <t>07426118410</t>
        </is>
      </c>
    </row>
    <row r="401">
      <c r="A401" t="inlineStr">
        <is>
          <t>23057</t>
        </is>
      </c>
      <c r="B401" t="inlineStr">
        <is>
          <t>WJS ORG/PONZU SOY SAUCE 15OZ</t>
        </is>
      </c>
      <c r="C401" t="inlineStr">
        <is>
          <t>07426118415</t>
        </is>
      </c>
    </row>
    <row r="402">
      <c r="A402" t="inlineStr">
        <is>
          <t>22055</t>
        </is>
      </c>
      <c r="B402" t="inlineStr">
        <is>
          <t>WJS ORG/TAMARI (G/FREE) 10OZ</t>
        </is>
      </c>
      <c r="C402" t="inlineStr">
        <is>
          <t>07426118211</t>
        </is>
      </c>
    </row>
    <row r="403">
      <c r="A403" t="inlineStr">
        <is>
          <t>22140</t>
        </is>
      </c>
      <c r="B403" t="inlineStr">
        <is>
          <t>WJS ORGANIC AGED SOY SAUCE</t>
        </is>
      </c>
      <c r="C403" t="inlineStr">
        <is>
          <t>07426118007</t>
        </is>
      </c>
    </row>
    <row r="404">
      <c r="A404" t="inlineStr">
        <is>
          <t>22110</t>
        </is>
      </c>
      <c r="B404" t="inlineStr">
        <is>
          <t>WJS ORGANIC DUMPLING SAUCE 6.7OZ</t>
        </is>
      </c>
      <c r="C404" t="inlineStr">
        <is>
          <t>07426128107</t>
        </is>
      </c>
    </row>
    <row r="405">
      <c r="A405">
        <f>"07426118206"</f>
        <v/>
      </c>
      <c r="B405" t="inlineStr">
        <is>
          <t>WJS ORGANIC GLUTEN FREE SAUCE</t>
        </is>
      </c>
      <c r="C405" t="inlineStr">
        <is>
          <t>07426118206</t>
        </is>
      </c>
    </row>
    <row r="406">
      <c r="A406">
        <f>"07426118606"</f>
        <v/>
      </c>
      <c r="B406" t="inlineStr">
        <is>
          <t>WJS ORGANIC HOISIN SAUCE</t>
        </is>
      </c>
      <c r="C406" t="inlineStr">
        <is>
          <t>07426118606</t>
        </is>
      </c>
    </row>
    <row r="407">
      <c r="A407" t="inlineStr">
        <is>
          <t>22109</t>
        </is>
      </c>
      <c r="B407" t="inlineStr">
        <is>
          <t>WJS ORGANIC MILD DUMPLING SAUCE 6.7OZ</t>
        </is>
      </c>
      <c r="C407" t="inlineStr">
        <is>
          <t>07426128106</t>
        </is>
      </c>
    </row>
    <row r="408">
      <c r="A408" t="inlineStr">
        <is>
          <t>22044</t>
        </is>
      </c>
      <c r="B408" t="inlineStr">
        <is>
          <t>WJS ORGANIC RICE VINEGAR 10OZ</t>
        </is>
      </c>
      <c r="C408" t="inlineStr">
        <is>
          <t>07426118710</t>
        </is>
      </c>
    </row>
    <row r="409">
      <c r="A409" t="inlineStr">
        <is>
          <t>22063</t>
        </is>
      </c>
      <c r="B409" t="inlineStr">
        <is>
          <t>WJS ORGANIC SOY SAUCE 10OZ</t>
        </is>
      </c>
      <c r="C409" t="inlineStr">
        <is>
          <t>07426118010</t>
        </is>
      </c>
    </row>
    <row r="410">
      <c r="A410" t="inlineStr"/>
      <c r="B410" t="inlineStr">
        <is>
          <t>WJS ORGANIC TAMARI SAUCE 10FZ</t>
        </is>
      </c>
      <c r="C410" t="inlineStr">
        <is>
          <t>07286924118</t>
        </is>
      </c>
    </row>
    <row r="411">
      <c r="A411" t="inlineStr">
        <is>
          <t>22032</t>
        </is>
      </c>
      <c r="B411" t="inlineStr">
        <is>
          <t>WJS ORGANIC TERIYAKI SAUCE 10OZ</t>
        </is>
      </c>
      <c r="C411" t="inlineStr">
        <is>
          <t>07426118310</t>
        </is>
      </c>
    </row>
    <row r="412">
      <c r="A412" t="inlineStr">
        <is>
          <t>22056</t>
        </is>
      </c>
      <c r="B412" t="inlineStr">
        <is>
          <t>WJS PREMIUM AGED SOY SAUCE 33.8OZ</t>
        </is>
      </c>
      <c r="C412" t="inlineStr">
        <is>
          <t>07426116033</t>
        </is>
      </c>
    </row>
    <row r="413">
      <c r="A413" t="inlineStr">
        <is>
          <t>22103</t>
        </is>
      </c>
      <c r="B413" t="inlineStr">
        <is>
          <t>WJS PREMIUM RICE VENEGAR 10 OZ</t>
        </is>
      </c>
      <c r="C413" t="inlineStr">
        <is>
          <t>07426117510</t>
        </is>
      </c>
    </row>
    <row r="414">
      <c r="A414" t="inlineStr">
        <is>
          <t>22104</t>
        </is>
      </c>
      <c r="B414" t="inlineStr">
        <is>
          <t>WJS PREMIUM RICE VINEGAR</t>
        </is>
      </c>
      <c r="C414" t="inlineStr">
        <is>
          <t>07426117520</t>
        </is>
      </c>
    </row>
    <row r="415">
      <c r="A415" t="inlineStr">
        <is>
          <t>22031</t>
        </is>
      </c>
      <c r="B415" t="inlineStr">
        <is>
          <t>WJS PREMIUM SOY SAUCE 16.7OZ</t>
        </is>
      </c>
      <c r="C415" t="inlineStr">
        <is>
          <t>07426116117</t>
        </is>
      </c>
    </row>
    <row r="416">
      <c r="A416" t="inlineStr">
        <is>
          <t>22023</t>
        </is>
      </c>
      <c r="B416" t="inlineStr">
        <is>
          <t>WJS RED VINEGAR 20OZ</t>
        </is>
      </c>
      <c r="C416" t="inlineStr">
        <is>
          <t>07426117120</t>
        </is>
      </c>
    </row>
    <row r="417">
      <c r="A417" t="inlineStr">
        <is>
          <t>22022</t>
        </is>
      </c>
      <c r="B417" t="inlineStr">
        <is>
          <t>WJS RICE VENEGAR 10OZ</t>
        </is>
      </c>
      <c r="C417" t="inlineStr">
        <is>
          <t>07426117010</t>
        </is>
      </c>
    </row>
    <row r="418">
      <c r="A418" t="inlineStr">
        <is>
          <t>22021</t>
        </is>
      </c>
      <c r="B418" t="inlineStr">
        <is>
          <t>WJS RICE VINEGAR 595ML</t>
        </is>
      </c>
      <c r="C418" t="inlineStr">
        <is>
          <t>07426117015</t>
        </is>
      </c>
    </row>
    <row r="419">
      <c r="A419" t="inlineStr">
        <is>
          <t>22035</t>
        </is>
      </c>
      <c r="B419" t="inlineStr">
        <is>
          <t>WJS S/CHILI SAUCE 6.7OZ</t>
        </is>
      </c>
      <c r="C419" t="inlineStr">
        <is>
          <t>07426115052</t>
        </is>
      </c>
    </row>
    <row r="420">
      <c r="A420">
        <f>"07426130007"</f>
        <v/>
      </c>
      <c r="B420" t="inlineStr">
        <is>
          <t>WJS SASHIMI SOY SAUCE</t>
        </is>
      </c>
      <c r="C420" t="inlineStr">
        <is>
          <t>07426130007</t>
        </is>
      </c>
    </row>
    <row r="421">
      <c r="A421" t="inlineStr">
        <is>
          <t>22001</t>
        </is>
      </c>
      <c r="B421" t="inlineStr">
        <is>
          <t>WJS SOY SAUCE 10OZ</t>
        </is>
      </c>
      <c r="C421" t="inlineStr">
        <is>
          <t>07426101010</t>
        </is>
      </c>
    </row>
    <row r="422">
      <c r="A422" t="inlineStr">
        <is>
          <t>22060</t>
        </is>
      </c>
      <c r="B422" t="inlineStr">
        <is>
          <t>WJS SOY SAUCE 16.9 OZ</t>
        </is>
      </c>
      <c r="C422" t="inlineStr">
        <is>
          <t>07426115016</t>
        </is>
      </c>
    </row>
    <row r="423">
      <c r="A423" t="inlineStr">
        <is>
          <t>22016</t>
        </is>
      </c>
      <c r="B423" t="inlineStr">
        <is>
          <t>WJS SOY SAUCE GLAZE 16.9OZ</t>
        </is>
      </c>
      <c r="C423" t="inlineStr">
        <is>
          <t>07426116016</t>
        </is>
      </c>
    </row>
    <row r="424">
      <c r="A424" t="inlineStr">
        <is>
          <t>22012</t>
        </is>
      </c>
      <c r="B424" t="inlineStr">
        <is>
          <t>WJS SOY SAUCE LITE 10OZ</t>
        </is>
      </c>
      <c r="C424" t="inlineStr">
        <is>
          <t>07426120200</t>
        </is>
      </c>
    </row>
    <row r="425">
      <c r="A425" t="inlineStr">
        <is>
          <t>22061</t>
        </is>
      </c>
      <c r="B425" t="inlineStr">
        <is>
          <t>WJS SOY SAUCE LITE 500ML</t>
        </is>
      </c>
      <c r="C425" t="inlineStr">
        <is>
          <t>07426120120</t>
        </is>
      </c>
    </row>
    <row r="426">
      <c r="A426" t="inlineStr">
        <is>
          <t>22042</t>
        </is>
      </c>
      <c r="B426" t="inlineStr">
        <is>
          <t>WJS SWEET COOKING RICE WINE 15OZ</t>
        </is>
      </c>
      <c r="C426" t="inlineStr">
        <is>
          <t>07426115046</t>
        </is>
      </c>
    </row>
    <row r="427">
      <c r="A427" t="inlineStr">
        <is>
          <t>22029</t>
        </is>
      </c>
      <c r="B427" t="inlineStr">
        <is>
          <t>WJS TAMARI S/SAUCE 10 OZ</t>
        </is>
      </c>
      <c r="C427" t="inlineStr">
        <is>
          <t>07426115010</t>
        </is>
      </c>
    </row>
    <row r="428">
      <c r="A428" t="inlineStr">
        <is>
          <t>22030</t>
        </is>
      </c>
      <c r="B428" t="inlineStr">
        <is>
          <t>WJS TAMARI SAUCE</t>
        </is>
      </c>
      <c r="C428" t="inlineStr">
        <is>
          <t>07426114016</t>
        </is>
      </c>
    </row>
    <row r="429">
      <c r="A429" t="inlineStr">
        <is>
          <t>22036</t>
        </is>
      </c>
      <c r="B429" t="inlineStr">
        <is>
          <t>WJS V/OYSTER MUSH SAUCE 10OZ</t>
        </is>
      </c>
      <c r="C429" t="inlineStr">
        <is>
          <t>07426104010</t>
        </is>
      </c>
    </row>
    <row r="430">
      <c r="A430" t="inlineStr"/>
      <c r="B430" t="inlineStr">
        <is>
          <t>WJS WORCESTERSHIRE SAUCE VEGAN 595ML</t>
        </is>
      </c>
      <c r="C430" t="inlineStr">
        <is>
          <t>07426119020</t>
        </is>
      </c>
    </row>
    <row r="431">
      <c r="A431" t="inlineStr">
        <is>
          <t>41196</t>
        </is>
      </c>
      <c r="B431" t="inlineStr">
        <is>
          <t>WL ORGANIC PICKLE CABBAGE</t>
        </is>
      </c>
      <c r="C431" t="inlineStr">
        <is>
          <t>08906741196</t>
        </is>
      </c>
    </row>
    <row r="432">
      <c r="A432" t="inlineStr">
        <is>
          <t>22025</t>
        </is>
      </c>
      <c r="B432" t="inlineStr">
        <is>
          <t>WORCESTERSHIRE SAUCE 296ML</t>
        </is>
      </c>
      <c r="C432" t="inlineStr">
        <is>
          <t>07426119010</t>
        </is>
      </c>
    </row>
    <row r="433">
      <c r="A433" t="inlineStr">
        <is>
          <t>12001</t>
        </is>
      </c>
      <c r="B433" t="inlineStr">
        <is>
          <t>WP LYCHEE WHOLE 1LB</t>
        </is>
      </c>
      <c r="C433" t="inlineStr">
        <is>
          <t>08906712001</t>
        </is>
      </c>
    </row>
    <row r="434">
      <c r="A434" t="inlineStr">
        <is>
          <t>22062</t>
        </is>
      </c>
      <c r="B434" t="inlineStr">
        <is>
          <t>WSJ LESS SODIUM SOY SAUCE 33.8OZ</t>
        </is>
      </c>
      <c r="C434" t="inlineStr">
        <is>
          <t>07426120133</t>
        </is>
      </c>
    </row>
    <row r="435">
      <c r="A435" t="inlineStr">
        <is>
          <t>22095</t>
        </is>
      </c>
      <c r="B435" t="inlineStr">
        <is>
          <t>WSJ ORGANIC TAMARI</t>
        </is>
      </c>
      <c r="C435" t="inlineStr">
        <is>
          <t>07426118110</t>
        </is>
      </c>
    </row>
    <row r="436">
      <c r="A436" t="inlineStr">
        <is>
          <t>46059</t>
        </is>
      </c>
      <c r="B436" t="inlineStr">
        <is>
          <t>YES BARLEY TEA 2LT</t>
        </is>
      </c>
      <c r="C436" t="inlineStr">
        <is>
          <t>76162800162</t>
        </is>
      </c>
    </row>
    <row r="437">
      <c r="A437" t="inlineStr">
        <is>
          <t>46112</t>
        </is>
      </c>
      <c r="B437" t="inlineStr">
        <is>
          <t>YES BLACK OOLONG TEA 2L</t>
        </is>
      </c>
      <c r="C437" t="inlineStr">
        <is>
          <t>76162801027</t>
        </is>
      </c>
    </row>
    <row r="438">
      <c r="A438" t="inlineStr">
        <is>
          <t>46054</t>
        </is>
      </c>
      <c r="B438" t="inlineStr">
        <is>
          <t>YES GREEN TEA 2L</t>
        </is>
      </c>
      <c r="C438" t="inlineStr">
        <is>
          <t>76162800117</t>
        </is>
      </c>
    </row>
    <row r="439">
      <c r="A439" t="inlineStr">
        <is>
          <t>46061</t>
        </is>
      </c>
      <c r="B439" t="inlineStr">
        <is>
          <t>YES GREEN TEA W/PLUM 2LT</t>
        </is>
      </c>
      <c r="C439" t="inlineStr">
        <is>
          <t>76162800304</t>
        </is>
      </c>
    </row>
    <row r="440">
      <c r="A440" t="inlineStr">
        <is>
          <t>46064</t>
        </is>
      </c>
      <c r="B440" t="inlineStr">
        <is>
          <t>YES HERBAL TEA 2LT</t>
        </is>
      </c>
      <c r="C440" t="inlineStr">
        <is>
          <t>76162801005</t>
        </is>
      </c>
    </row>
    <row r="441">
      <c r="A441" t="inlineStr">
        <is>
          <t>46062</t>
        </is>
      </c>
      <c r="B441" t="inlineStr">
        <is>
          <t>YES JAPANESE GREEN TEA 2LT</t>
        </is>
      </c>
      <c r="C441" t="inlineStr">
        <is>
          <t>76162801007</t>
        </is>
      </c>
    </row>
    <row r="442">
      <c r="A442" t="inlineStr">
        <is>
          <t>46063</t>
        </is>
      </c>
      <c r="B442" t="inlineStr">
        <is>
          <t>YES LEMON BLACK TEA 2L</t>
        </is>
      </c>
      <c r="C442" t="inlineStr">
        <is>
          <t>76162801019</t>
        </is>
      </c>
    </row>
    <row r="443">
      <c r="A443" t="inlineStr">
        <is>
          <t>46056</t>
        </is>
      </c>
      <c r="B443" t="inlineStr">
        <is>
          <t>YES OOLONG TEA (UNSWEET) 2LT</t>
        </is>
      </c>
      <c r="C443" t="inlineStr">
        <is>
          <t>76162800107</t>
        </is>
      </c>
    </row>
    <row r="444">
      <c r="A444" t="inlineStr">
        <is>
          <t>46058</t>
        </is>
      </c>
      <c r="B444" t="inlineStr">
        <is>
          <t>YES PLUM TEA 2LT</t>
        </is>
      </c>
      <c r="C444" t="inlineStr">
        <is>
          <t>76162800170</t>
        </is>
      </c>
    </row>
    <row r="445">
      <c r="A445" t="inlineStr">
        <is>
          <t>91711</t>
        </is>
      </c>
      <c r="B445" t="inlineStr">
        <is>
          <t>YF PANDA ICE CREAM BAR 5PC</t>
        </is>
      </c>
      <c r="C445" t="inlineStr">
        <is>
          <t>471163400473</t>
        </is>
      </c>
    </row>
    <row r="446">
      <c r="A446" t="inlineStr">
        <is>
          <t>24414</t>
        </is>
      </c>
      <c r="B446" t="inlineStr">
        <is>
          <t>ZHENJIANG VINEGAR 18.6 FL OZ</t>
        </is>
      </c>
      <c r="C446" t="inlineStr">
        <is>
          <t>690200750527</t>
        </is>
      </c>
    </row>
    <row r="447">
      <c r="A447" t="inlineStr">
        <is>
          <t>24421</t>
        </is>
      </c>
      <c r="B447" t="inlineStr">
        <is>
          <t>ZHENJIANG VINEGAR 550ML</t>
        </is>
      </c>
      <c r="C447" t="inlineStr">
        <is>
          <t>690200750500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2026-07-17T15:35:15Z</dcterms:created>
  <dcterms:modified xmlns:dcterms="http://purl.org/dc/terms/" xmlns:xsi="http://www.w3.org/2001/XMLSchema-instance" xsi:type="dcterms:W3CDTF">2026-07-17T15:35:15Z</dcterms:modified>
</cp:coreProperties>
</file>